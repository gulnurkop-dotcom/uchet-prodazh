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Инструкция" sheetId="1" state="visible" r:id="rId3"/>
    <sheet name="Продажи" sheetId="2" state="visible" r:id="rId4"/>
    <sheet name="Товары" sheetId="3" state="visible" r:id="rId5"/>
    <sheet name="Приход" sheetId="4" state="visible" r:id="rId6"/>
    <sheet name="Клиенты" sheetId="5" state="visible" r:id="rId7"/>
    <sheet name="Отчет" sheetId="6" state="visible" r:id="rId8"/>
    <sheet name="Счет" sheetId="7" state="visible" r:id="rId9"/>
  </sheets>
  <definedNames>
    <definedName function="false" hidden="true" localSheetId="1" name="_xlnm._FilterDatabase" vbProcedure="false">Продажи!$A$1:$M$1000</definedName>
    <definedName function="false" hidden="false" localSheetId="6" name="_xlnm.Print_Area" vbProcedure="false">Счет!$A$1:$E$30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<sst xmlns="http://schemas.openxmlformats.org/spreadsheetml/2006/main" count="142" uniqueCount="106">
  <si>
    <t xml:space="preserve">Учёт продаж: как пользоваться</t>
  </si>
  <si>
    <t xml:space="preserve">Цвета ячеек</t>
  </si>
  <si>
    <t xml:space="preserve">Жёлтые ячейки с синим текстом — их заполняете вы. Остальные считаются сами, их не трогайте.</t>
  </si>
  <si>
    <t xml:space="preserve">Порядок работы</t>
  </si>
  <si>
    <t xml:space="preserve">1. «Товары» — внесите артикулы, названия, цены продажи, закупочные цены, начальный остаток и минимальный остаток.</t>
  </si>
  <si>
    <t xml:space="preserve">2. «Клиенты» — внесите клиентов (название, контакты, реквизиты).</t>
  </si>
  <si>
    <t xml:space="preserve">3. «Продажи» — на каждую проданную позицию одна строка: дата, № счёта, клиент и артикул (выбираются из списка), количество.</t>
  </si>
  <si>
    <t xml:space="preserve">    Название, цена, сумма, себестоимость и прибыль подставятся автоматически.</t>
  </si>
  <si>
    <t xml:space="preserve">    Если в счёте несколько товаров — несколько строк с одним и тем же № счёта.</t>
  </si>
  <si>
    <t xml:space="preserve">4. «Приход» — записывайте поступления товара, остатки на листе «Товары» обновятся сами.</t>
  </si>
  <si>
    <t xml:space="preserve">5. «Отчёт» — выручка и прибыль по месяцам, график, рейтинг товаров и клиентов. Год меняется в ячейке B2.</t>
  </si>
  <si>
    <t xml:space="preserve">6. «Счёт» — введите номер счёта, и лист заполнится из «Продаж». Не забудьте вписать реквизиты поставщика в B7. Печать или PDF — как обычно.</t>
  </si>
  <si>
    <t xml:space="preserve">Остатки и заказ</t>
  </si>
  <si>
    <t xml:space="preserve">Когда остаток товара опускается до минимального, в колонке «Статус» листа «Товары» появляется красная пометка «Заказать».</t>
  </si>
  <si>
    <t xml:space="preserve">Допущения</t>
  </si>
  <si>
    <t xml:space="preserve">Валюта — тенге (₸). Если нужна другая, поменяйте формат ячеек.</t>
  </si>
  <si>
    <t xml:space="preserve">Цена в продажах берётся из справочника «Товары». Изменили цену — она изменится и в старых продажах.</t>
  </si>
  <si>
    <t xml:space="preserve">Если нужна фиксированная цена на момент продажи, перезапишите значение в колонке «Цена» вручную.</t>
  </si>
  <si>
    <t xml:space="preserve">Формулы рассчитаны на 999 строк продаж, 199 товаров и 199 клиентов. Для большего объёма протяните формулы вниз.</t>
  </si>
  <si>
    <t xml:space="preserve">Данные в файле — примеры. Удалите их (только в жёлтых ячейках) и вносите свои.</t>
  </si>
  <si>
    <t xml:space="preserve">Файл подходит и для Google Таблиц: загрузите его в Google Диск и откройте как таблицу.</t>
  </si>
  <si>
    <t xml:space="preserve">Дата</t>
  </si>
  <si>
    <t xml:space="preserve">№ счёта</t>
  </si>
  <si>
    <t xml:space="preserve">Клиент</t>
  </si>
  <si>
    <t xml:space="preserve">Артикул</t>
  </si>
  <si>
    <t xml:space="preserve">Название</t>
  </si>
  <si>
    <t xml:space="preserve">Кол-во</t>
  </si>
  <si>
    <t xml:space="preserve">Цена</t>
  </si>
  <si>
    <t xml:space="preserve">Сумма</t>
  </si>
  <si>
    <t xml:space="preserve">Себестоимость</t>
  </si>
  <si>
    <t xml:space="preserve">Прибыль</t>
  </si>
  <si>
    <t xml:space="preserve">Месяц</t>
  </si>
  <si>
    <t xml:space="preserve">Год</t>
  </si>
  <si>
    <t xml:space="preserve">Ключ строки</t>
  </si>
  <si>
    <t xml:space="preserve">ТОО «Альфа»</t>
  </si>
  <si>
    <t xml:space="preserve">A-001</t>
  </si>
  <si>
    <t xml:space="preserve">A-002</t>
  </si>
  <si>
    <t xml:space="preserve">ИП Нурланов</t>
  </si>
  <si>
    <t xml:space="preserve">A-003</t>
  </si>
  <si>
    <t xml:space="preserve">ТОО «Бета»</t>
  </si>
  <si>
    <t xml:space="preserve">A-004</t>
  </si>
  <si>
    <t xml:space="preserve">Цена продажи</t>
  </si>
  <si>
    <t xml:space="preserve">Закупочная цена</t>
  </si>
  <si>
    <t xml:space="preserve">Начальный остаток</t>
  </si>
  <si>
    <t xml:space="preserve">Приход</t>
  </si>
  <si>
    <t xml:space="preserve">Продано</t>
  </si>
  <si>
    <t xml:space="preserve">Остаток</t>
  </si>
  <si>
    <t xml:space="preserve">Мин. остаток</t>
  </si>
  <si>
    <t xml:space="preserve">Статус</t>
  </si>
  <si>
    <t xml:space="preserve">Товар 1</t>
  </si>
  <si>
    <t xml:space="preserve">Товар 2</t>
  </si>
  <si>
    <t xml:space="preserve">Товар 3</t>
  </si>
  <si>
    <t xml:space="preserve">Товар 4</t>
  </si>
  <si>
    <t xml:space="preserve">Поставщик / комментарий</t>
  </si>
  <si>
    <t xml:space="preserve">Поставщик 1</t>
  </si>
  <si>
    <t xml:space="preserve">Поставщик 2</t>
  </si>
  <si>
    <t xml:space="preserve">Телефон</t>
  </si>
  <si>
    <t xml:space="preserve">Email</t>
  </si>
  <si>
    <t xml:space="preserve">Реквизиты / адрес</t>
  </si>
  <si>
    <t xml:space="preserve">Сумма покупок</t>
  </si>
  <si>
    <t xml:space="preserve">Последняя покупка</t>
  </si>
  <si>
    <t xml:space="preserve">+7 700 000 00 01</t>
  </si>
  <si>
    <t xml:space="preserve">alpha@example.kz</t>
  </si>
  <si>
    <t xml:space="preserve">г. Астана, ул. Примерная 1, БИН 000000000001</t>
  </si>
  <si>
    <t xml:space="preserve">+7 700 000 00 02</t>
  </si>
  <si>
    <t xml:space="preserve">beta@example.kz</t>
  </si>
  <si>
    <t xml:space="preserve">г. Астана, ул. Примерная 2, БИН 000000000002</t>
  </si>
  <si>
    <t xml:space="preserve">+7 700 000 00 03</t>
  </si>
  <si>
    <t xml:space="preserve">nurlanov@example.kz</t>
  </si>
  <si>
    <t xml:space="preserve">г. Астана, ул. Примерная 3, ИИН 000000000003</t>
  </si>
  <si>
    <t xml:space="preserve">Отчёт по продажам</t>
  </si>
  <si>
    <t xml:space="preserve">Год:</t>
  </si>
  <si>
    <t xml:space="preserve">← поменяйте год, отчёт пересчитается</t>
  </si>
  <si>
    <t xml:space="preserve">Выручка</t>
  </si>
  <si>
    <t xml:space="preserve">Позиций продано</t>
  </si>
  <si>
    <t xml:space="preserve">Маржа</t>
  </si>
  <si>
    <t xml:space="preserve">Январь</t>
  </si>
  <si>
    <t xml:space="preserve">Февраль</t>
  </si>
  <si>
    <t xml:space="preserve">Март</t>
  </si>
  <si>
    <t xml:space="preserve">Апрель</t>
  </si>
  <si>
    <t xml:space="preserve">Май</t>
  </si>
  <si>
    <t xml:space="preserve">Июнь</t>
  </si>
  <si>
    <t xml:space="preserve">Июль</t>
  </si>
  <si>
    <t xml:space="preserve">Август</t>
  </si>
  <si>
    <t xml:space="preserve">Сентябрь</t>
  </si>
  <si>
    <t xml:space="preserve">Октябрь</t>
  </si>
  <si>
    <t xml:space="preserve">Ноябрь</t>
  </si>
  <si>
    <t xml:space="preserve">Декабрь</t>
  </si>
  <si>
    <t xml:space="preserve">Итого</t>
  </si>
  <si>
    <t xml:space="preserve">По товарам (за выбранный год)</t>
  </si>
  <si>
    <t xml:space="preserve">По клиентам (за выбранный год)</t>
  </si>
  <si>
    <t xml:space="preserve">Товар</t>
  </si>
  <si>
    <t xml:space="preserve">Продано, шт.</t>
  </si>
  <si>
    <t xml:space="preserve">Место</t>
  </si>
  <si>
    <t xml:space="preserve">Позиций</t>
  </si>
  <si>
    <t xml:space="preserve">СЧЁТ НА ОПЛАТУ</t>
  </si>
  <si>
    <t xml:space="preserve">Номер счёта:</t>
  </si>
  <si>
    <t xml:space="preserve">← введите номер счёта из листа «Продажи»</t>
  </si>
  <si>
    <t xml:space="preserve">Дата:</t>
  </si>
  <si>
    <t xml:space="preserve">Клиент:</t>
  </si>
  <si>
    <t xml:space="preserve">Реквизиты клиента:</t>
  </si>
  <si>
    <t xml:space="preserve">Поставщик:</t>
  </si>
  <si>
    <t xml:space="preserve">ТОО «Ваша компания», БИН ..., адрес ..., IBAN ...</t>
  </si>
  <si>
    <t xml:space="preserve">№</t>
  </si>
  <si>
    <t xml:space="preserve">Наименование</t>
  </si>
  <si>
    <t xml:space="preserve">ИТОГО: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</si>
</sst>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\.mm\.yyyy"/>
    <numFmt numFmtId="166" formatCode="#,##0&quot; ₸&quot;;\-#,##0&quot; ₸&quot;;\-"/>
    <numFmt numFmtId="167" formatCode="0.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8"/>
      <color rgb="FF808080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9DB"/>
        <bgColor rgb="FFFFFFFF"/>
      </patternFill>
    </fill>
    <fill>
      <patternFill patternType="solid">
        <fgColor rgb="FFDDEBF7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4E78"/>
          <bgColor rgb="FF000000"/>
        </patternFill>
      </fill>
    </dxf>
    <dxf>
      <fill>
        <patternFill patternType="solid">
          <fgColor rgb="FFFFF9DB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808080"/>
          <bgColor rgb="FF000000"/>
        </patternFill>
      </fill>
    </dxf>
    <dxf>
      <font>
        <name val="Arial"/>
        <charset val="1"/>
        <family val="0"/>
        <b val="1"/>
        <color rgb="FFC00000"/>
      </font>
      <fill>
        <patternFill>
          <bgColor rgb="FFF8CBAD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9DB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4F81BD"/>
      <rgbColor rgb="FF878787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Выручка по месяцам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Отчет!B4</c:f>
              <c:strCache>
                <c:ptCount val="1"/>
                <c:pt idx="0">
                  <c:v>Выручка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Отчет!$A$5:$A$16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Отчет!$B$5:$B$16</c:f>
              <c:numCache>
                <c:formatCode>#,##0" ₸";\-#,##0" ₸";\-</c:formatCode>
                <c:ptCount val="12"/>
                <c:pt idx="0">
                  <c:v>192500</c:v>
                </c:pt>
                <c:pt idx="1">
                  <c:v>124000</c:v>
                </c:pt>
                <c:pt idx="2">
                  <c:v>300000</c:v>
                </c:pt>
                <c:pt idx="3">
                  <c:v>68000</c:v>
                </c:pt>
                <c:pt idx="4">
                  <c:v>0</c:v>
                </c:pt>
                <c:pt idx="5">
                  <c:v>96000</c:v>
                </c:pt>
                <c:pt idx="6">
                  <c:v>0</c:v>
                </c:pt>
                <c:pt idx="7">
                  <c:v>0</c:v>
                </c:pt>
                <c:pt idx="8">
                  <c:v>90000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gapWidth val="150"/>
        <c:overlap val="0"/>
        <c:axId val="12987120"/>
        <c:axId val="3458091"/>
      </c:barChart>
      <c:catAx>
        <c:axId val="12987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458091"/>
        <c:crosses val="autoZero"/>
        <c:auto val="1"/>
        <c:lblAlgn val="ctr"/>
        <c:lblOffset val="100"/>
        <c:noMultiLvlLbl val="0"/>
      </c:catAx>
      <c:valAx>
        <c:axId val="345809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&quot; ₸&quot;;\-#,##0&quot; ₸&quot;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298712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0</xdr:row>
      <xdr:rowOff>190440</xdr:rowOff>
    </xdr:from>
    <xdr:to>
      <xdr:col>12</xdr:col>
      <xdr:colOff>604440</xdr:colOff>
      <xdr:row>14</xdr:row>
      <xdr:rowOff>182880</xdr:rowOff>
    </xdr:to>
    <xdr:graphicFrame>
      <xdr:nvGraphicFramePr>
        <xdr:cNvPr id="0" name="Chart 1"/>
        <xdr:cNvGraphicFramePr/>
      </xdr:nvGraphicFramePr>
      <xdr:xfrm>
        <a:off x="6273000" y="190440"/>
        <a:ext cx="64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3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/>
    </row>
    <row r="6" customFormat="false" ht="15" hidden="false" customHeight="false" outlineLevel="0" collapsed="false">
      <c r="A6" s="3" t="s">
        <v>3</v>
      </c>
    </row>
    <row r="7" customFormat="false" ht="15" hidden="false" customHeight="false" outlineLevel="0" collapsed="false">
      <c r="A7" s="2" t="s">
        <v>4</v>
      </c>
    </row>
    <row r="8" customFormat="false" ht="15" hidden="false" customHeight="false" outlineLevel="0" collapsed="false">
      <c r="A8" s="2" t="s">
        <v>5</v>
      </c>
    </row>
    <row r="9" customFormat="false" ht="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 t="s">
        <v>10</v>
      </c>
    </row>
    <row r="14" customFormat="false" ht="23.85" hidden="false" customHeight="false" outlineLevel="0" collapsed="false">
      <c r="A14" s="2" t="s">
        <v>11</v>
      </c>
    </row>
    <row r="15" customFormat="false" ht="15" hidden="false" customHeight="false" outlineLevel="0" collapsed="false">
      <c r="A15" s="2"/>
    </row>
    <row r="16" customFormat="false" ht="15" hidden="false" customHeight="false" outlineLevel="0" collapsed="false">
      <c r="A16" s="3" t="s">
        <v>12</v>
      </c>
    </row>
    <row r="17" customFormat="false" ht="15" hidden="false" customHeight="false" outlineLevel="0" collapsed="false">
      <c r="A17" s="2" t="s">
        <v>13</v>
      </c>
    </row>
    <row r="18" customFormat="false" ht="15" hidden="false" customHeight="false" outlineLevel="0" collapsed="false">
      <c r="A18" s="2"/>
    </row>
    <row r="19" customFormat="false" ht="15" hidden="false" customHeight="false" outlineLevel="0" collapsed="false">
      <c r="A19" s="3" t="s">
        <v>14</v>
      </c>
    </row>
    <row r="20" customFormat="false" ht="15" hidden="false" customHeight="false" outlineLevel="0" collapsed="false">
      <c r="A20" s="2" t="s">
        <v>15</v>
      </c>
    </row>
    <row r="21" customFormat="false" ht="15" hidden="false" customHeight="false" outlineLevel="0" collapsed="false">
      <c r="A21" s="2" t="s">
        <v>16</v>
      </c>
    </row>
    <row r="22" customFormat="false" ht="15" hidden="false" customHeight="false" outlineLevel="0" collapsed="false">
      <c r="A22" s="2" t="s">
        <v>17</v>
      </c>
    </row>
    <row r="23" customFormat="false" ht="15" hidden="false" customHeight="false" outlineLevel="0" collapsed="false">
      <c r="A23" s="2" t="s">
        <v>18</v>
      </c>
    </row>
    <row r="24" customFormat="false" ht="15" hidden="false" customHeight="false" outlineLevel="0" collapsed="false">
      <c r="A24" s="2" t="s">
        <v>19</v>
      </c>
    </row>
    <row r="25" customFormat="false" ht="15" hidden="false" customHeight="false" outlineLevel="0" collapsed="false">
      <c r="A25" s="2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26"/>
    <col collapsed="false" customWidth="true" hidden="false" outlineLevel="0" max="4" min="4" style="0" width="12"/>
    <col collapsed="false" customWidth="true" hidden="false" outlineLevel="0" max="5" min="5" style="0" width="28"/>
    <col collapsed="false" customWidth="true" hidden="false" outlineLevel="0" max="6" min="6" style="0" width="9"/>
    <col collapsed="false" customWidth="true" hidden="false" outlineLevel="0" max="7" min="7" style="0" width="13"/>
    <col collapsed="false" customWidth="true" hidden="false" outlineLevel="0" max="10" min="8" style="0" width="14"/>
    <col collapsed="false" customWidth="true" hidden="false" outlineLevel="0" max="12" min="11" style="0" width="8"/>
    <col collapsed="false" customWidth="true" hidden="false" outlineLevel="0" max="13" min="13" style="0" width="14"/>
  </cols>
  <sheetData>
    <row r="1" customFormat="false" ht="30" hidden="false" customHeight="true" outlineLevel="0" collapsed="false">
      <c r="A1" s="4" t="s">
        <v>21</v>
      </c>
      <c r="B1" s="4" t="s">
        <v>22</v>
      </c>
      <c r="C1" s="4" t="s">
        <v>23</v>
      </c>
      <c r="D1" s="4" t="s">
        <v>24</v>
      </c>
      <c r="E1" s="4" t="s">
        <v>25</v>
      </c>
      <c r="F1" s="4" t="s">
        <v>26</v>
      </c>
      <c r="G1" s="4" t="s">
        <v>27</v>
      </c>
      <c r="H1" s="4" t="s">
        <v>28</v>
      </c>
      <c r="I1" s="4" t="s">
        <v>29</v>
      </c>
      <c r="J1" s="4" t="s">
        <v>30</v>
      </c>
      <c r="K1" s="4" t="s">
        <v>31</v>
      </c>
      <c r="L1" s="4" t="s">
        <v>32</v>
      </c>
      <c r="M1" s="4" t="s">
        <v>33</v>
      </c>
    </row>
    <row r="2" customFormat="false" ht="15" hidden="false" customHeight="false" outlineLevel="0" collapsed="false">
      <c r="A2" s="5" t="n">
        <v>46034</v>
      </c>
      <c r="B2" s="6" t="n">
        <v>1001</v>
      </c>
      <c r="C2" s="6" t="s">
        <v>34</v>
      </c>
      <c r="D2" s="6" t="s">
        <v>35</v>
      </c>
      <c r="E2" s="7" t="str">
        <f aca="false">IF(D2="","",IFERROR(INDEX(Товары!$B$2:$B$200,MATCH(D2,Товары!$A$2:$A$200,0)),"нет в справочнике"))</f>
        <v>Товар 1</v>
      </c>
      <c r="F2" s="6" t="n">
        <v>10</v>
      </c>
      <c r="G2" s="8" t="n">
        <f aca="false">IF(D2="","",IFERROR(INDEX(Товары!$C$2:$C$200,MATCH(D2,Товары!$A$2:$A$200,0)),0))</f>
        <v>15000</v>
      </c>
      <c r="H2" s="8" t="n">
        <f aca="false">IF(D2="","",F2*G2)</f>
        <v>150000</v>
      </c>
      <c r="I2" s="8" t="n">
        <f aca="false">IF(D2="","",F2*IFERROR(INDEX(Товары!$D$2:$D$200,MATCH(D2,Товары!$A$2:$A$200,0)),0))</f>
        <v>90000</v>
      </c>
      <c r="J2" s="8" t="n">
        <f aca="false">IF(D2="","",H2-I2)</f>
        <v>60000</v>
      </c>
      <c r="K2" s="7" t="n">
        <f aca="false">IF(A2="","",MONTH(A2))</f>
        <v>1</v>
      </c>
      <c r="L2" s="7" t="n">
        <f aca="false">IF(A2="","",YEAR(A2))</f>
        <v>2026</v>
      </c>
      <c r="M2" s="9" t="str">
        <f aca="false">IF(B2="","",B2&amp;"|"&amp;COUNTIF(B$2:B2,B2))</f>
        <v>1001|1</v>
      </c>
    </row>
    <row r="3" customFormat="false" ht="15" hidden="false" customHeight="false" outlineLevel="0" collapsed="false">
      <c r="A3" s="5" t="n">
        <v>46034</v>
      </c>
      <c r="B3" s="6" t="n">
        <v>1001</v>
      </c>
      <c r="C3" s="6" t="s">
        <v>34</v>
      </c>
      <c r="D3" s="6" t="s">
        <v>36</v>
      </c>
      <c r="E3" s="7" t="str">
        <f aca="false">IF(D3="","",IFERROR(INDEX(Товары!$B$2:$B$200,MATCH(D3,Товары!$A$2:$A$200,0)),"нет в справочнике"))</f>
        <v>Товар 2</v>
      </c>
      <c r="F3" s="6" t="n">
        <v>5</v>
      </c>
      <c r="G3" s="8" t="n">
        <f aca="false">IF(D3="","",IFERROR(INDEX(Товары!$C$2:$C$200,MATCH(D3,Товары!$A$2:$A$200,0)),0))</f>
        <v>8500</v>
      </c>
      <c r="H3" s="8" t="n">
        <f aca="false">IF(D3="","",F3*G3)</f>
        <v>42500</v>
      </c>
      <c r="I3" s="8" t="n">
        <f aca="false">IF(D3="","",F3*IFERROR(INDEX(Товары!$D$2:$D$200,MATCH(D3,Товары!$A$2:$A$200,0)),0))</f>
        <v>25000</v>
      </c>
      <c r="J3" s="8" t="n">
        <f aca="false">IF(D3="","",H3-I3)</f>
        <v>17500</v>
      </c>
      <c r="K3" s="7" t="n">
        <f aca="false">IF(A3="","",MONTH(A3))</f>
        <v>1</v>
      </c>
      <c r="L3" s="7" t="n">
        <f aca="false">IF(A3="","",YEAR(A3))</f>
        <v>2026</v>
      </c>
      <c r="M3" s="9" t="str">
        <f aca="false">IF(B3="","",B3&amp;"|"&amp;COUNTIF(B$2:B3,B3))</f>
        <v>1001|2</v>
      </c>
    </row>
    <row r="4" customFormat="false" ht="15" hidden="false" customHeight="false" outlineLevel="0" collapsed="false">
      <c r="A4" s="5" t="n">
        <v>46056</v>
      </c>
      <c r="B4" s="6" t="n">
        <v>1002</v>
      </c>
      <c r="C4" s="6" t="s">
        <v>37</v>
      </c>
      <c r="D4" s="6" t="s">
        <v>38</v>
      </c>
      <c r="E4" s="7" t="str">
        <f aca="false">IF(D4="","",IFERROR(INDEX(Товары!$B$2:$B$200,MATCH(D4,Товары!$A$2:$A$200,0)),"нет в справочнике"))</f>
        <v>Товар 3</v>
      </c>
      <c r="F4" s="6" t="n">
        <v>20</v>
      </c>
      <c r="G4" s="8" t="n">
        <f aca="false">IF(D4="","",IFERROR(INDEX(Товары!$C$2:$C$200,MATCH(D4,Товары!$A$2:$A$200,0)),0))</f>
        <v>3200</v>
      </c>
      <c r="H4" s="8" t="n">
        <f aca="false">IF(D4="","",F4*G4)</f>
        <v>64000</v>
      </c>
      <c r="I4" s="8" t="n">
        <f aca="false">IF(D4="","",F4*IFERROR(INDEX(Товары!$D$2:$D$200,MATCH(D4,Товары!$A$2:$A$200,0)),0))</f>
        <v>36000</v>
      </c>
      <c r="J4" s="8" t="n">
        <f aca="false">IF(D4="","",H4-I4)</f>
        <v>28000</v>
      </c>
      <c r="K4" s="7" t="n">
        <f aca="false">IF(A4="","",MONTH(A4))</f>
        <v>2</v>
      </c>
      <c r="L4" s="7" t="n">
        <f aca="false">IF(A4="","",YEAR(A4))</f>
        <v>2026</v>
      </c>
      <c r="M4" s="9" t="str">
        <f aca="false">IF(B4="","",B4&amp;"|"&amp;COUNTIF(B$2:B4,B4))</f>
        <v>1002|1</v>
      </c>
    </row>
    <row r="5" customFormat="false" ht="15" hidden="false" customHeight="false" outlineLevel="0" collapsed="false">
      <c r="A5" s="5" t="n">
        <v>46071</v>
      </c>
      <c r="B5" s="6" t="n">
        <v>1003</v>
      </c>
      <c r="C5" s="6" t="s">
        <v>39</v>
      </c>
      <c r="D5" s="6" t="s">
        <v>35</v>
      </c>
      <c r="E5" s="7" t="str">
        <f aca="false">IF(D5="","",IFERROR(INDEX(Товары!$B$2:$B$200,MATCH(D5,Товары!$A$2:$A$200,0)),"нет в справочнике"))</f>
        <v>Товар 1</v>
      </c>
      <c r="F5" s="6" t="n">
        <v>4</v>
      </c>
      <c r="G5" s="8" t="n">
        <f aca="false">IF(D5="","",IFERROR(INDEX(Товары!$C$2:$C$200,MATCH(D5,Товары!$A$2:$A$200,0)),0))</f>
        <v>15000</v>
      </c>
      <c r="H5" s="8" t="n">
        <f aca="false">IF(D5="","",F5*G5)</f>
        <v>60000</v>
      </c>
      <c r="I5" s="8" t="n">
        <f aca="false">IF(D5="","",F5*IFERROR(INDEX(Товары!$D$2:$D$200,MATCH(D5,Товары!$A$2:$A$200,0)),0))</f>
        <v>36000</v>
      </c>
      <c r="J5" s="8" t="n">
        <f aca="false">IF(D5="","",H5-I5)</f>
        <v>24000</v>
      </c>
      <c r="K5" s="7" t="n">
        <f aca="false">IF(A5="","",MONTH(A5))</f>
        <v>2</v>
      </c>
      <c r="L5" s="7" t="n">
        <f aca="false">IF(A5="","",YEAR(A5))</f>
        <v>2026</v>
      </c>
      <c r="M5" s="9" t="str">
        <f aca="false">IF(B5="","",B5&amp;"|"&amp;COUNTIF(B$2:B5,B5))</f>
        <v>1003|1</v>
      </c>
    </row>
    <row r="6" customFormat="false" ht="15" hidden="false" customHeight="false" outlineLevel="0" collapsed="false">
      <c r="A6" s="5" t="n">
        <v>46088</v>
      </c>
      <c r="B6" s="6" t="n">
        <v>1004</v>
      </c>
      <c r="C6" s="6" t="s">
        <v>37</v>
      </c>
      <c r="D6" s="6" t="s">
        <v>40</v>
      </c>
      <c r="E6" s="7" t="str">
        <f aca="false">IF(D6="","",IFERROR(INDEX(Товары!$B$2:$B$200,MATCH(D6,Товары!$A$2:$A$200,0)),"нет в справочнике"))</f>
        <v>Товар 4</v>
      </c>
      <c r="F6" s="6" t="n">
        <v>12</v>
      </c>
      <c r="G6" s="8" t="n">
        <f aca="false">IF(D6="","",IFERROR(INDEX(Товары!$C$2:$C$200,MATCH(D6,Товары!$A$2:$A$200,0)),0))</f>
        <v>25000</v>
      </c>
      <c r="H6" s="8" t="n">
        <f aca="false">IF(D6="","",F6*G6)</f>
        <v>300000</v>
      </c>
      <c r="I6" s="8" t="n">
        <f aca="false">IF(D6="","",F6*IFERROR(INDEX(Товары!$D$2:$D$200,MATCH(D6,Товары!$A$2:$A$200,0)),0))</f>
        <v>192000</v>
      </c>
      <c r="J6" s="8" t="n">
        <f aca="false">IF(D6="","",H6-I6)</f>
        <v>108000</v>
      </c>
      <c r="K6" s="7" t="n">
        <f aca="false">IF(A6="","",MONTH(A6))</f>
        <v>3</v>
      </c>
      <c r="L6" s="7" t="n">
        <f aca="false">IF(A6="","",YEAR(A6))</f>
        <v>2026</v>
      </c>
      <c r="M6" s="9" t="str">
        <f aca="false">IF(B6="","",B6&amp;"|"&amp;COUNTIF(B$2:B6,B6))</f>
        <v>1004|1</v>
      </c>
    </row>
    <row r="7" customFormat="false" ht="15" hidden="false" customHeight="false" outlineLevel="0" collapsed="false">
      <c r="A7" s="5" t="n">
        <v>46133</v>
      </c>
      <c r="B7" s="6" t="n">
        <v>1005</v>
      </c>
      <c r="C7" s="6" t="s">
        <v>34</v>
      </c>
      <c r="D7" s="6" t="s">
        <v>36</v>
      </c>
      <c r="E7" s="7" t="str">
        <f aca="false">IF(D7="","",IFERROR(INDEX(Товары!$B$2:$B$200,MATCH(D7,Товары!$A$2:$A$200,0)),"нет в справочнике"))</f>
        <v>Товар 2</v>
      </c>
      <c r="F7" s="6" t="n">
        <v>8</v>
      </c>
      <c r="G7" s="8" t="n">
        <f aca="false">IF(D7="","",IFERROR(INDEX(Товары!$C$2:$C$200,MATCH(D7,Товары!$A$2:$A$200,0)),0))</f>
        <v>8500</v>
      </c>
      <c r="H7" s="8" t="n">
        <f aca="false">IF(D7="","",F7*G7)</f>
        <v>68000</v>
      </c>
      <c r="I7" s="8" t="n">
        <f aca="false">IF(D7="","",F7*IFERROR(INDEX(Товары!$D$2:$D$200,MATCH(D7,Товары!$A$2:$A$200,0)),0))</f>
        <v>40000</v>
      </c>
      <c r="J7" s="8" t="n">
        <f aca="false">IF(D7="","",H7-I7)</f>
        <v>28000</v>
      </c>
      <c r="K7" s="7" t="n">
        <f aca="false">IF(A7="","",MONTH(A7))</f>
        <v>4</v>
      </c>
      <c r="L7" s="7" t="n">
        <f aca="false">IF(A7="","",YEAR(A7))</f>
        <v>2026</v>
      </c>
      <c r="M7" s="9" t="str">
        <f aca="false">IF(B7="","",B7&amp;"|"&amp;COUNTIF(B$2:B7,B7))</f>
        <v>1005|1</v>
      </c>
    </row>
    <row r="8" customFormat="false" ht="15" hidden="false" customHeight="false" outlineLevel="0" collapsed="false">
      <c r="A8" s="5" t="n">
        <v>46182</v>
      </c>
      <c r="B8" s="6" t="n">
        <v>1006</v>
      </c>
      <c r="C8" s="6" t="s">
        <v>39</v>
      </c>
      <c r="D8" s="6" t="s">
        <v>38</v>
      </c>
      <c r="E8" s="7" t="str">
        <f aca="false">IF(D8="","",IFERROR(INDEX(Товары!$B$2:$B$200,MATCH(D8,Товары!$A$2:$A$200,0)),"нет в справочнике"))</f>
        <v>Товар 3</v>
      </c>
      <c r="F8" s="6" t="n">
        <v>30</v>
      </c>
      <c r="G8" s="8" t="n">
        <f aca="false">IF(D8="","",IFERROR(INDEX(Товары!$C$2:$C$200,MATCH(D8,Товары!$A$2:$A$200,0)),0))</f>
        <v>3200</v>
      </c>
      <c r="H8" s="8" t="n">
        <f aca="false">IF(D8="","",F8*G8)</f>
        <v>96000</v>
      </c>
      <c r="I8" s="8" t="n">
        <f aca="false">IF(D8="","",F8*IFERROR(INDEX(Товары!$D$2:$D$200,MATCH(D8,Товары!$A$2:$A$200,0)),0))</f>
        <v>54000</v>
      </c>
      <c r="J8" s="8" t="n">
        <f aca="false">IF(D8="","",H8-I8)</f>
        <v>42000</v>
      </c>
      <c r="K8" s="7" t="n">
        <f aca="false">IF(A8="","",MONTH(A8))</f>
        <v>6</v>
      </c>
      <c r="L8" s="7" t="n">
        <f aca="false">IF(A8="","",YEAR(A8))</f>
        <v>2026</v>
      </c>
      <c r="M8" s="9" t="str">
        <f aca="false">IF(B8="","",B8&amp;"|"&amp;COUNTIF(B$2:B8,B8))</f>
        <v>1006|1</v>
      </c>
    </row>
    <row r="9" customFormat="false" ht="15" hidden="false" customHeight="false" outlineLevel="0" collapsed="false">
      <c r="A9" s="5" t="n">
        <v>46280</v>
      </c>
      <c r="B9" s="6" t="n">
        <v>1007</v>
      </c>
      <c r="C9" s="6" t="s">
        <v>37</v>
      </c>
      <c r="D9" s="6" t="s">
        <v>35</v>
      </c>
      <c r="E9" s="7" t="str">
        <f aca="false">IF(D9="","",IFERROR(INDEX(Товары!$B$2:$B$200,MATCH(D9,Товары!$A$2:$A$200,0)),"нет в справочнике"))</f>
        <v>Товар 1</v>
      </c>
      <c r="F9" s="6" t="n">
        <v>6</v>
      </c>
      <c r="G9" s="8" t="n">
        <f aca="false">IF(D9="","",IFERROR(INDEX(Товары!$C$2:$C$200,MATCH(D9,Товары!$A$2:$A$200,0)),0))</f>
        <v>15000</v>
      </c>
      <c r="H9" s="8" t="n">
        <f aca="false">IF(D9="","",F9*G9)</f>
        <v>90000</v>
      </c>
      <c r="I9" s="8" t="n">
        <f aca="false">IF(D9="","",F9*IFERROR(INDEX(Товары!$D$2:$D$200,MATCH(D9,Товары!$A$2:$A$200,0)),0))</f>
        <v>54000</v>
      </c>
      <c r="J9" s="8" t="n">
        <f aca="false">IF(D9="","",H9-I9)</f>
        <v>36000</v>
      </c>
      <c r="K9" s="7" t="n">
        <f aca="false">IF(A9="","",MONTH(A9))</f>
        <v>9</v>
      </c>
      <c r="L9" s="7" t="n">
        <f aca="false">IF(A9="","",YEAR(A9))</f>
        <v>2026</v>
      </c>
      <c r="M9" s="9" t="str">
        <f aca="false">IF(B9="","",B9&amp;"|"&amp;COUNTIF(B$2:B9,B9))</f>
        <v>1007|1</v>
      </c>
    </row>
    <row r="10" customFormat="false" ht="15" hidden="false" customHeight="false" outlineLevel="0" collapsed="false">
      <c r="A10" s="5"/>
      <c r="B10" s="6"/>
      <c r="C10" s="6"/>
      <c r="D10" s="6"/>
      <c r="E10" s="7" t="str">
        <f aca="false">IF(D10="","",IFERROR(INDEX(Товары!$B$2:$B$200,MATCH(D10,Товары!$A$2:$A$200,0)),"нет в справочнике"))</f>
        <v/>
      </c>
      <c r="F10" s="6"/>
      <c r="G10" s="8" t="str">
        <f aca="false">IF(D10="","",IFERROR(INDEX(Товары!$C$2:$C$200,MATCH(D10,Товары!$A$2:$A$200,0)),0))</f>
        <v/>
      </c>
      <c r="H10" s="8" t="str">
        <f aca="false">IF(D10="","",F10*G10)</f>
        <v/>
      </c>
      <c r="I10" s="8" t="str">
        <f aca="false">IF(D10="","",F10*IFERROR(INDEX(Товары!$D$2:$D$200,MATCH(D10,Товары!$A$2:$A$200,0)),0))</f>
        <v/>
      </c>
      <c r="J10" s="8" t="str">
        <f aca="false">IF(D10="","",H10-I10)</f>
        <v/>
      </c>
      <c r="K10" s="7" t="str">
        <f aca="false">IF(A10="","",MONTH(A10))</f>
        <v/>
      </c>
      <c r="L10" s="7" t="str">
        <f aca="false">IF(A10="","",YEAR(A10))</f>
        <v/>
      </c>
      <c r="M10" s="9" t="str">
        <f aca="false">IF(B10="","",B10&amp;"|"&amp;COUNTIF(B$2:B10,B10))</f>
        <v/>
      </c>
    </row>
    <row r="11" customFormat="false" ht="15" hidden="false" customHeight="false" outlineLevel="0" collapsed="false">
      <c r="A11" s="5"/>
      <c r="B11" s="6"/>
      <c r="C11" s="6"/>
      <c r="D11" s="6"/>
      <c r="E11" s="7" t="str">
        <f aca="false">IF(D11="","",IFERROR(INDEX(Товары!$B$2:$B$200,MATCH(D11,Товары!$A$2:$A$200,0)),"нет в справочнике"))</f>
        <v/>
      </c>
      <c r="F11" s="6"/>
      <c r="G11" s="8" t="str">
        <f aca="false">IF(D11="","",IFERROR(INDEX(Товары!$C$2:$C$200,MATCH(D11,Товары!$A$2:$A$200,0)),0))</f>
        <v/>
      </c>
      <c r="H11" s="8" t="str">
        <f aca="false">IF(D11="","",F11*G11)</f>
        <v/>
      </c>
      <c r="I11" s="8" t="str">
        <f aca="false">IF(D11="","",F11*IFERROR(INDEX(Товары!$D$2:$D$200,MATCH(D11,Товары!$A$2:$A$200,0)),0))</f>
        <v/>
      </c>
      <c r="J11" s="8" t="str">
        <f aca="false">IF(D11="","",H11-I11)</f>
        <v/>
      </c>
      <c r="K11" s="7" t="str">
        <f aca="false">IF(A11="","",MONTH(A11))</f>
        <v/>
      </c>
      <c r="L11" s="7" t="str">
        <f aca="false">IF(A11="","",YEAR(A11))</f>
        <v/>
      </c>
      <c r="M11" s="9" t="str">
        <f aca="false">IF(B11="","",B11&amp;"|"&amp;COUNTIF(B$2:B11,B11))</f>
        <v/>
      </c>
    </row>
    <row r="12" customFormat="false" ht="15" hidden="false" customHeight="false" outlineLevel="0" collapsed="false">
      <c r="A12" s="5"/>
      <c r="B12" s="6"/>
      <c r="C12" s="6"/>
      <c r="D12" s="6"/>
      <c r="E12" s="7" t="str">
        <f aca="false">IF(D12="","",IFERROR(INDEX(Товары!$B$2:$B$200,MATCH(D12,Товары!$A$2:$A$200,0)),"нет в справочнике"))</f>
        <v/>
      </c>
      <c r="F12" s="6"/>
      <c r="G12" s="8" t="str">
        <f aca="false">IF(D12="","",IFERROR(INDEX(Товары!$C$2:$C$200,MATCH(D12,Товары!$A$2:$A$200,0)),0))</f>
        <v/>
      </c>
      <c r="H12" s="8" t="str">
        <f aca="false">IF(D12="","",F12*G12)</f>
        <v/>
      </c>
      <c r="I12" s="8" t="str">
        <f aca="false">IF(D12="","",F12*IFERROR(INDEX(Товары!$D$2:$D$200,MATCH(D12,Товары!$A$2:$A$200,0)),0))</f>
        <v/>
      </c>
      <c r="J12" s="8" t="str">
        <f aca="false">IF(D12="","",H12-I12)</f>
        <v/>
      </c>
      <c r="K12" s="7" t="str">
        <f aca="false">IF(A12="","",MONTH(A12))</f>
        <v/>
      </c>
      <c r="L12" s="7" t="str">
        <f aca="false">IF(A12="","",YEAR(A12))</f>
        <v/>
      </c>
      <c r="M12" s="9" t="str">
        <f aca="false">IF(B12="","",B12&amp;"|"&amp;COUNTIF(B$2:B12,B12))</f>
        <v/>
      </c>
    </row>
    <row r="13" customFormat="false" ht="15" hidden="false" customHeight="false" outlineLevel="0" collapsed="false">
      <c r="A13" s="5"/>
      <c r="B13" s="6"/>
      <c r="C13" s="6"/>
      <c r="D13" s="6"/>
      <c r="E13" s="7" t="str">
        <f aca="false">IF(D13="","",IFERROR(INDEX(Товары!$B$2:$B$200,MATCH(D13,Товары!$A$2:$A$200,0)),"нет в справочнике"))</f>
        <v/>
      </c>
      <c r="F13" s="6"/>
      <c r="G13" s="8" t="str">
        <f aca="false">IF(D13="","",IFERROR(INDEX(Товары!$C$2:$C$200,MATCH(D13,Товары!$A$2:$A$200,0)),0))</f>
        <v/>
      </c>
      <c r="H13" s="8" t="str">
        <f aca="false">IF(D13="","",F13*G13)</f>
        <v/>
      </c>
      <c r="I13" s="8" t="str">
        <f aca="false">IF(D13="","",F13*IFERROR(INDEX(Товары!$D$2:$D$200,MATCH(D13,Товары!$A$2:$A$200,0)),0))</f>
        <v/>
      </c>
      <c r="J13" s="8" t="str">
        <f aca="false">IF(D13="","",H13-I13)</f>
        <v/>
      </c>
      <c r="K13" s="7" t="str">
        <f aca="false">IF(A13="","",MONTH(A13))</f>
        <v/>
      </c>
      <c r="L13" s="7" t="str">
        <f aca="false">IF(A13="","",YEAR(A13))</f>
        <v/>
      </c>
      <c r="M13" s="9" t="str">
        <f aca="false">IF(B13="","",B13&amp;"|"&amp;COUNTIF(B$2:B13,B13))</f>
        <v/>
      </c>
    </row>
    <row r="14" customFormat="false" ht="15" hidden="false" customHeight="false" outlineLevel="0" collapsed="false">
      <c r="A14" s="5"/>
      <c r="B14" s="6"/>
      <c r="C14" s="6"/>
      <c r="D14" s="6"/>
      <c r="E14" s="7" t="str">
        <f aca="false">IF(D14="","",IFERROR(INDEX(Товары!$B$2:$B$200,MATCH(D14,Товары!$A$2:$A$200,0)),"нет в справочнике"))</f>
        <v/>
      </c>
      <c r="F14" s="6"/>
      <c r="G14" s="8" t="str">
        <f aca="false">IF(D14="","",IFERROR(INDEX(Товары!$C$2:$C$200,MATCH(D14,Товары!$A$2:$A$200,0)),0))</f>
        <v/>
      </c>
      <c r="H14" s="8" t="str">
        <f aca="false">IF(D14="","",F14*G14)</f>
        <v/>
      </c>
      <c r="I14" s="8" t="str">
        <f aca="false">IF(D14="","",F14*IFERROR(INDEX(Товары!$D$2:$D$200,MATCH(D14,Товары!$A$2:$A$200,0)),0))</f>
        <v/>
      </c>
      <c r="J14" s="8" t="str">
        <f aca="false">IF(D14="","",H14-I14)</f>
        <v/>
      </c>
      <c r="K14" s="7" t="str">
        <f aca="false">IF(A14="","",MONTH(A14))</f>
        <v/>
      </c>
      <c r="L14" s="7" t="str">
        <f aca="false">IF(A14="","",YEAR(A14))</f>
        <v/>
      </c>
      <c r="M14" s="9" t="str">
        <f aca="false">IF(B14="","",B14&amp;"|"&amp;COUNTIF(B$2:B14,B14))</f>
        <v/>
      </c>
    </row>
    <row r="15" customFormat="false" ht="15" hidden="false" customHeight="false" outlineLevel="0" collapsed="false">
      <c r="A15" s="5"/>
      <c r="B15" s="6"/>
      <c r="C15" s="6"/>
      <c r="D15" s="6"/>
      <c r="E15" s="7" t="str">
        <f aca="false">IF(D15="","",IFERROR(INDEX(Товары!$B$2:$B$200,MATCH(D15,Товары!$A$2:$A$200,0)),"нет в справочнике"))</f>
        <v/>
      </c>
      <c r="F15" s="6"/>
      <c r="G15" s="8" t="str">
        <f aca="false">IF(D15="","",IFERROR(INDEX(Товары!$C$2:$C$200,MATCH(D15,Товары!$A$2:$A$200,0)),0))</f>
        <v/>
      </c>
      <c r="H15" s="8" t="str">
        <f aca="false">IF(D15="","",F15*G15)</f>
        <v/>
      </c>
      <c r="I15" s="8" t="str">
        <f aca="false">IF(D15="","",F15*IFERROR(INDEX(Товары!$D$2:$D$200,MATCH(D15,Товары!$A$2:$A$200,0)),0))</f>
        <v/>
      </c>
      <c r="J15" s="8" t="str">
        <f aca="false">IF(D15="","",H15-I15)</f>
        <v/>
      </c>
      <c r="K15" s="7" t="str">
        <f aca="false">IF(A15="","",MONTH(A15))</f>
        <v/>
      </c>
      <c r="L15" s="7" t="str">
        <f aca="false">IF(A15="","",YEAR(A15))</f>
        <v/>
      </c>
      <c r="M15" s="9" t="str">
        <f aca="false">IF(B15="","",B15&amp;"|"&amp;COUNTIF(B$2:B15,B15))</f>
        <v/>
      </c>
    </row>
    <row r="16" customFormat="false" ht="15" hidden="false" customHeight="false" outlineLevel="0" collapsed="false">
      <c r="A16" s="5"/>
      <c r="B16" s="6"/>
      <c r="C16" s="6"/>
      <c r="D16" s="6"/>
      <c r="E16" s="7" t="str">
        <f aca="false">IF(D16="","",IFERROR(INDEX(Товары!$B$2:$B$200,MATCH(D16,Товары!$A$2:$A$200,0)),"нет в справочнике"))</f>
        <v/>
      </c>
      <c r="F16" s="6"/>
      <c r="G16" s="8" t="str">
        <f aca="false">IF(D16="","",IFERROR(INDEX(Товары!$C$2:$C$200,MATCH(D16,Товары!$A$2:$A$200,0)),0))</f>
        <v/>
      </c>
      <c r="H16" s="8" t="str">
        <f aca="false">IF(D16="","",F16*G16)</f>
        <v/>
      </c>
      <c r="I16" s="8" t="str">
        <f aca="false">IF(D16="","",F16*IFERROR(INDEX(Товары!$D$2:$D$200,MATCH(D16,Товары!$A$2:$A$200,0)),0))</f>
        <v/>
      </c>
      <c r="J16" s="8" t="str">
        <f aca="false">IF(D16="","",H16-I16)</f>
        <v/>
      </c>
      <c r="K16" s="7" t="str">
        <f aca="false">IF(A16="","",MONTH(A16))</f>
        <v/>
      </c>
      <c r="L16" s="7" t="str">
        <f aca="false">IF(A16="","",YEAR(A16))</f>
        <v/>
      </c>
      <c r="M16" s="9" t="str">
        <f aca="false">IF(B16="","",B16&amp;"|"&amp;COUNTIF(B$2:B16,B16))</f>
        <v/>
      </c>
    </row>
    <row r="17" customFormat="false" ht="15" hidden="false" customHeight="false" outlineLevel="0" collapsed="false">
      <c r="A17" s="5"/>
      <c r="B17" s="6"/>
      <c r="C17" s="6"/>
      <c r="D17" s="6"/>
      <c r="E17" s="7" t="str">
        <f aca="false">IF(D17="","",IFERROR(INDEX(Товары!$B$2:$B$200,MATCH(D17,Товары!$A$2:$A$200,0)),"нет в справочнике"))</f>
        <v/>
      </c>
      <c r="F17" s="6"/>
      <c r="G17" s="8" t="str">
        <f aca="false">IF(D17="","",IFERROR(INDEX(Товары!$C$2:$C$200,MATCH(D17,Товары!$A$2:$A$200,0)),0))</f>
        <v/>
      </c>
      <c r="H17" s="8" t="str">
        <f aca="false">IF(D17="","",F17*G17)</f>
        <v/>
      </c>
      <c r="I17" s="8" t="str">
        <f aca="false">IF(D17="","",F17*IFERROR(INDEX(Товары!$D$2:$D$200,MATCH(D17,Товары!$A$2:$A$200,0)),0))</f>
        <v/>
      </c>
      <c r="J17" s="8" t="str">
        <f aca="false">IF(D17="","",H17-I17)</f>
        <v/>
      </c>
      <c r="K17" s="7" t="str">
        <f aca="false">IF(A17="","",MONTH(A17))</f>
        <v/>
      </c>
      <c r="L17" s="7" t="str">
        <f aca="false">IF(A17="","",YEAR(A17))</f>
        <v/>
      </c>
      <c r="M17" s="9" t="str">
        <f aca="false">IF(B17="","",B17&amp;"|"&amp;COUNTIF(B$2:B17,B17))</f>
        <v/>
      </c>
    </row>
    <row r="18" customFormat="false" ht="15" hidden="false" customHeight="false" outlineLevel="0" collapsed="false">
      <c r="A18" s="5"/>
      <c r="B18" s="6"/>
      <c r="C18" s="6"/>
      <c r="D18" s="6"/>
      <c r="E18" s="7" t="str">
        <f aca="false">IF(D18="","",IFERROR(INDEX(Товары!$B$2:$B$200,MATCH(D18,Товары!$A$2:$A$200,0)),"нет в справочнике"))</f>
        <v/>
      </c>
      <c r="F18" s="6"/>
      <c r="G18" s="8" t="str">
        <f aca="false">IF(D18="","",IFERROR(INDEX(Товары!$C$2:$C$200,MATCH(D18,Товары!$A$2:$A$200,0)),0))</f>
        <v/>
      </c>
      <c r="H18" s="8" t="str">
        <f aca="false">IF(D18="","",F18*G18)</f>
        <v/>
      </c>
      <c r="I18" s="8" t="str">
        <f aca="false">IF(D18="","",F18*IFERROR(INDEX(Товары!$D$2:$D$200,MATCH(D18,Товары!$A$2:$A$200,0)),0))</f>
        <v/>
      </c>
      <c r="J18" s="8" t="str">
        <f aca="false">IF(D18="","",H18-I18)</f>
        <v/>
      </c>
      <c r="K18" s="7" t="str">
        <f aca="false">IF(A18="","",MONTH(A18))</f>
        <v/>
      </c>
      <c r="L18" s="7" t="str">
        <f aca="false">IF(A18="","",YEAR(A18))</f>
        <v/>
      </c>
      <c r="M18" s="9" t="str">
        <f aca="false">IF(B18="","",B18&amp;"|"&amp;COUNTIF(B$2:B18,B18))</f>
        <v/>
      </c>
    </row>
    <row r="19" customFormat="false" ht="15" hidden="false" customHeight="false" outlineLevel="0" collapsed="false">
      <c r="A19" s="5"/>
      <c r="B19" s="6"/>
      <c r="C19" s="6"/>
      <c r="D19" s="6"/>
      <c r="E19" s="7" t="str">
        <f aca="false">IF(D19="","",IFERROR(INDEX(Товары!$B$2:$B$200,MATCH(D19,Товары!$A$2:$A$200,0)),"нет в справочнике"))</f>
        <v/>
      </c>
      <c r="F19" s="6"/>
      <c r="G19" s="8" t="str">
        <f aca="false">IF(D19="","",IFERROR(INDEX(Товары!$C$2:$C$200,MATCH(D19,Товары!$A$2:$A$200,0)),0))</f>
        <v/>
      </c>
      <c r="H19" s="8" t="str">
        <f aca="false">IF(D19="","",F19*G19)</f>
        <v/>
      </c>
      <c r="I19" s="8" t="str">
        <f aca="false">IF(D19="","",F19*IFERROR(INDEX(Товары!$D$2:$D$200,MATCH(D19,Товары!$A$2:$A$200,0)),0))</f>
        <v/>
      </c>
      <c r="J19" s="8" t="str">
        <f aca="false">IF(D19="","",H19-I19)</f>
        <v/>
      </c>
      <c r="K19" s="7" t="str">
        <f aca="false">IF(A19="","",MONTH(A19))</f>
        <v/>
      </c>
      <c r="L19" s="7" t="str">
        <f aca="false">IF(A19="","",YEAR(A19))</f>
        <v/>
      </c>
      <c r="M19" s="9" t="str">
        <f aca="false">IF(B19="","",B19&amp;"|"&amp;COUNTIF(B$2:B19,B19))</f>
        <v/>
      </c>
    </row>
    <row r="20" customFormat="false" ht="15" hidden="false" customHeight="false" outlineLevel="0" collapsed="false">
      <c r="A20" s="5"/>
      <c r="B20" s="6"/>
      <c r="C20" s="6"/>
      <c r="D20" s="6"/>
      <c r="E20" s="7" t="str">
        <f aca="false">IF(D20="","",IFERROR(INDEX(Товары!$B$2:$B$200,MATCH(D20,Товары!$A$2:$A$200,0)),"нет в справочнике"))</f>
        <v/>
      </c>
      <c r="F20" s="6"/>
      <c r="G20" s="8" t="str">
        <f aca="false">IF(D20="","",IFERROR(INDEX(Товары!$C$2:$C$200,MATCH(D20,Товары!$A$2:$A$200,0)),0))</f>
        <v/>
      </c>
      <c r="H20" s="8" t="str">
        <f aca="false">IF(D20="","",F20*G20)</f>
        <v/>
      </c>
      <c r="I20" s="8" t="str">
        <f aca="false">IF(D20="","",F20*IFERROR(INDEX(Товары!$D$2:$D$200,MATCH(D20,Товары!$A$2:$A$200,0)),0))</f>
        <v/>
      </c>
      <c r="J20" s="8" t="str">
        <f aca="false">IF(D20="","",H20-I20)</f>
        <v/>
      </c>
      <c r="K20" s="7" t="str">
        <f aca="false">IF(A20="","",MONTH(A20))</f>
        <v/>
      </c>
      <c r="L20" s="7" t="str">
        <f aca="false">IF(A20="","",YEAR(A20))</f>
        <v/>
      </c>
      <c r="M20" s="9" t="str">
        <f aca="false">IF(B20="","",B20&amp;"|"&amp;COUNTIF(B$2:B20,B20))</f>
        <v/>
      </c>
    </row>
    <row r="21" customFormat="false" ht="15" hidden="false" customHeight="false" outlineLevel="0" collapsed="false">
      <c r="A21" s="5"/>
      <c r="B21" s="6"/>
      <c r="C21" s="6"/>
      <c r="D21" s="6"/>
      <c r="E21" s="7" t="str">
        <f aca="false">IF(D21="","",IFERROR(INDEX(Товары!$B$2:$B$200,MATCH(D21,Товары!$A$2:$A$200,0)),"нет в справочнике"))</f>
        <v/>
      </c>
      <c r="F21" s="6"/>
      <c r="G21" s="8" t="str">
        <f aca="false">IF(D21="","",IFERROR(INDEX(Товары!$C$2:$C$200,MATCH(D21,Товары!$A$2:$A$200,0)),0))</f>
        <v/>
      </c>
      <c r="H21" s="8" t="str">
        <f aca="false">IF(D21="","",F21*G21)</f>
        <v/>
      </c>
      <c r="I21" s="8" t="str">
        <f aca="false">IF(D21="","",F21*IFERROR(INDEX(Товары!$D$2:$D$200,MATCH(D21,Товары!$A$2:$A$200,0)),0))</f>
        <v/>
      </c>
      <c r="J21" s="8" t="str">
        <f aca="false">IF(D21="","",H21-I21)</f>
        <v/>
      </c>
      <c r="K21" s="7" t="str">
        <f aca="false">IF(A21="","",MONTH(A21))</f>
        <v/>
      </c>
      <c r="L21" s="7" t="str">
        <f aca="false">IF(A21="","",YEAR(A21))</f>
        <v/>
      </c>
      <c r="M21" s="9" t="str">
        <f aca="false">IF(B21="","",B21&amp;"|"&amp;COUNTIF(B$2:B21,B21))</f>
        <v/>
      </c>
    </row>
    <row r="22" customFormat="false" ht="15" hidden="false" customHeight="false" outlineLevel="0" collapsed="false">
      <c r="A22" s="5"/>
      <c r="B22" s="6"/>
      <c r="C22" s="6"/>
      <c r="D22" s="6"/>
      <c r="E22" s="7" t="str">
        <f aca="false">IF(D22="","",IFERROR(INDEX(Товары!$B$2:$B$200,MATCH(D22,Товары!$A$2:$A$200,0)),"нет в справочнике"))</f>
        <v/>
      </c>
      <c r="F22" s="6"/>
      <c r="G22" s="8" t="str">
        <f aca="false">IF(D22="","",IFERROR(INDEX(Товары!$C$2:$C$200,MATCH(D22,Товары!$A$2:$A$200,0)),0))</f>
        <v/>
      </c>
      <c r="H22" s="8" t="str">
        <f aca="false">IF(D22="","",F22*G22)</f>
        <v/>
      </c>
      <c r="I22" s="8" t="str">
        <f aca="false">IF(D22="","",F22*IFERROR(INDEX(Товары!$D$2:$D$200,MATCH(D22,Товары!$A$2:$A$200,0)),0))</f>
        <v/>
      </c>
      <c r="J22" s="8" t="str">
        <f aca="false">IF(D22="","",H22-I22)</f>
        <v/>
      </c>
      <c r="K22" s="7" t="str">
        <f aca="false">IF(A22="","",MONTH(A22))</f>
        <v/>
      </c>
      <c r="L22" s="7" t="str">
        <f aca="false">IF(A22="","",YEAR(A22))</f>
        <v/>
      </c>
      <c r="M22" s="9" t="str">
        <f aca="false">IF(B22="","",B22&amp;"|"&amp;COUNTIF(B$2:B22,B22))</f>
        <v/>
      </c>
    </row>
    <row r="23" customFormat="false" ht="15" hidden="false" customHeight="false" outlineLevel="0" collapsed="false">
      <c r="A23" s="5"/>
      <c r="B23" s="6"/>
      <c r="C23" s="6"/>
      <c r="D23" s="6"/>
      <c r="E23" s="7" t="str">
        <f aca="false">IF(D23="","",IFERROR(INDEX(Товары!$B$2:$B$200,MATCH(D23,Товары!$A$2:$A$200,0)),"нет в справочнике"))</f>
        <v/>
      </c>
      <c r="F23" s="6"/>
      <c r="G23" s="8" t="str">
        <f aca="false">IF(D23="","",IFERROR(INDEX(Товары!$C$2:$C$200,MATCH(D23,Товары!$A$2:$A$200,0)),0))</f>
        <v/>
      </c>
      <c r="H23" s="8" t="str">
        <f aca="false">IF(D23="","",F23*G23)</f>
        <v/>
      </c>
      <c r="I23" s="8" t="str">
        <f aca="false">IF(D23="","",F23*IFERROR(INDEX(Товары!$D$2:$D$200,MATCH(D23,Товары!$A$2:$A$200,0)),0))</f>
        <v/>
      </c>
      <c r="J23" s="8" t="str">
        <f aca="false">IF(D23="","",H23-I23)</f>
        <v/>
      </c>
      <c r="K23" s="7" t="str">
        <f aca="false">IF(A23="","",MONTH(A23))</f>
        <v/>
      </c>
      <c r="L23" s="7" t="str">
        <f aca="false">IF(A23="","",YEAR(A23))</f>
        <v/>
      </c>
      <c r="M23" s="9" t="str">
        <f aca="false">IF(B23="","",B23&amp;"|"&amp;COUNTIF(B$2:B23,B23))</f>
        <v/>
      </c>
    </row>
    <row r="24" customFormat="false" ht="15" hidden="false" customHeight="false" outlineLevel="0" collapsed="false">
      <c r="A24" s="5"/>
      <c r="B24" s="6"/>
      <c r="C24" s="6"/>
      <c r="D24" s="6"/>
      <c r="E24" s="7" t="str">
        <f aca="false">IF(D24="","",IFERROR(INDEX(Товары!$B$2:$B$200,MATCH(D24,Товары!$A$2:$A$200,0)),"нет в справочнике"))</f>
        <v/>
      </c>
      <c r="F24" s="6"/>
      <c r="G24" s="8" t="str">
        <f aca="false">IF(D24="","",IFERROR(INDEX(Товары!$C$2:$C$200,MATCH(D24,Товары!$A$2:$A$200,0)),0))</f>
        <v/>
      </c>
      <c r="H24" s="8" t="str">
        <f aca="false">IF(D24="","",F24*G24)</f>
        <v/>
      </c>
      <c r="I24" s="8" t="str">
        <f aca="false">IF(D24="","",F24*IFERROR(INDEX(Товары!$D$2:$D$200,MATCH(D24,Товары!$A$2:$A$200,0)),0))</f>
        <v/>
      </c>
      <c r="J24" s="8" t="str">
        <f aca="false">IF(D24="","",H24-I24)</f>
        <v/>
      </c>
      <c r="K24" s="7" t="str">
        <f aca="false">IF(A24="","",MONTH(A24))</f>
        <v/>
      </c>
      <c r="L24" s="7" t="str">
        <f aca="false">IF(A24="","",YEAR(A24))</f>
        <v/>
      </c>
      <c r="M24" s="9" t="str">
        <f aca="false">IF(B24="","",B24&amp;"|"&amp;COUNTIF(B$2:B24,B24))</f>
        <v/>
      </c>
    </row>
    <row r="25" customFormat="false" ht="15" hidden="false" customHeight="false" outlineLevel="0" collapsed="false">
      <c r="A25" s="5"/>
      <c r="B25" s="6"/>
      <c r="C25" s="6"/>
      <c r="D25" s="6"/>
      <c r="E25" s="7" t="str">
        <f aca="false">IF(D25="","",IFERROR(INDEX(Товары!$B$2:$B$200,MATCH(D25,Товары!$A$2:$A$200,0)),"нет в справочнике"))</f>
        <v/>
      </c>
      <c r="F25" s="6"/>
      <c r="G25" s="8" t="str">
        <f aca="false">IF(D25="","",IFERROR(INDEX(Товары!$C$2:$C$200,MATCH(D25,Товары!$A$2:$A$200,0)),0))</f>
        <v/>
      </c>
      <c r="H25" s="8" t="str">
        <f aca="false">IF(D25="","",F25*G25)</f>
        <v/>
      </c>
      <c r="I25" s="8" t="str">
        <f aca="false">IF(D25="","",F25*IFERROR(INDEX(Товары!$D$2:$D$200,MATCH(D25,Товары!$A$2:$A$200,0)),0))</f>
        <v/>
      </c>
      <c r="J25" s="8" t="str">
        <f aca="false">IF(D25="","",H25-I25)</f>
        <v/>
      </c>
      <c r="K25" s="7" t="str">
        <f aca="false">IF(A25="","",MONTH(A25))</f>
        <v/>
      </c>
      <c r="L25" s="7" t="str">
        <f aca="false">IF(A25="","",YEAR(A25))</f>
        <v/>
      </c>
      <c r="M25" s="9" t="str">
        <f aca="false">IF(B25="","",B25&amp;"|"&amp;COUNTIF(B$2:B25,B25))</f>
        <v/>
      </c>
    </row>
    <row r="26" customFormat="false" ht="15" hidden="false" customHeight="false" outlineLevel="0" collapsed="false">
      <c r="A26" s="5"/>
      <c r="B26" s="6"/>
      <c r="C26" s="6"/>
      <c r="D26" s="6"/>
      <c r="E26" s="7" t="str">
        <f aca="false">IF(D26="","",IFERROR(INDEX(Товары!$B$2:$B$200,MATCH(D26,Товары!$A$2:$A$200,0)),"нет в справочнике"))</f>
        <v/>
      </c>
      <c r="F26" s="6"/>
      <c r="G26" s="8" t="str">
        <f aca="false">IF(D26="","",IFERROR(INDEX(Товары!$C$2:$C$200,MATCH(D26,Товары!$A$2:$A$200,0)),0))</f>
        <v/>
      </c>
      <c r="H26" s="8" t="str">
        <f aca="false">IF(D26="","",F26*G26)</f>
        <v/>
      </c>
      <c r="I26" s="8" t="str">
        <f aca="false">IF(D26="","",F26*IFERROR(INDEX(Товары!$D$2:$D$200,MATCH(D26,Товары!$A$2:$A$200,0)),0))</f>
        <v/>
      </c>
      <c r="J26" s="8" t="str">
        <f aca="false">IF(D26="","",H26-I26)</f>
        <v/>
      </c>
      <c r="K26" s="7" t="str">
        <f aca="false">IF(A26="","",MONTH(A26))</f>
        <v/>
      </c>
      <c r="L26" s="7" t="str">
        <f aca="false">IF(A26="","",YEAR(A26))</f>
        <v/>
      </c>
      <c r="M26" s="9" t="str">
        <f aca="false">IF(B26="","",B26&amp;"|"&amp;COUNTIF(B$2:B26,B26))</f>
        <v/>
      </c>
    </row>
    <row r="27" customFormat="false" ht="15" hidden="false" customHeight="false" outlineLevel="0" collapsed="false">
      <c r="A27" s="5"/>
      <c r="B27" s="6"/>
      <c r="C27" s="6"/>
      <c r="D27" s="6"/>
      <c r="E27" s="7" t="str">
        <f aca="false">IF(D27="","",IFERROR(INDEX(Товары!$B$2:$B$200,MATCH(D27,Товары!$A$2:$A$200,0)),"нет в справочнике"))</f>
        <v/>
      </c>
      <c r="F27" s="6"/>
      <c r="G27" s="8" t="str">
        <f aca="false">IF(D27="","",IFERROR(INDEX(Товары!$C$2:$C$200,MATCH(D27,Товары!$A$2:$A$200,0)),0))</f>
        <v/>
      </c>
      <c r="H27" s="8" t="str">
        <f aca="false">IF(D27="","",F27*G27)</f>
        <v/>
      </c>
      <c r="I27" s="8" t="str">
        <f aca="false">IF(D27="","",F27*IFERROR(INDEX(Товары!$D$2:$D$200,MATCH(D27,Товары!$A$2:$A$200,0)),0))</f>
        <v/>
      </c>
      <c r="J27" s="8" t="str">
        <f aca="false">IF(D27="","",H27-I27)</f>
        <v/>
      </c>
      <c r="K27" s="7" t="str">
        <f aca="false">IF(A27="","",MONTH(A27))</f>
        <v/>
      </c>
      <c r="L27" s="7" t="str">
        <f aca="false">IF(A27="","",YEAR(A27))</f>
        <v/>
      </c>
      <c r="M27" s="9" t="str">
        <f aca="false">IF(B27="","",B27&amp;"|"&amp;COUNTIF(B$2:B27,B27))</f>
        <v/>
      </c>
    </row>
    <row r="28" customFormat="false" ht="15" hidden="false" customHeight="false" outlineLevel="0" collapsed="false">
      <c r="A28" s="5"/>
      <c r="B28" s="6"/>
      <c r="C28" s="6"/>
      <c r="D28" s="6"/>
      <c r="E28" s="7" t="str">
        <f aca="false">IF(D28="","",IFERROR(INDEX(Товары!$B$2:$B$200,MATCH(D28,Товары!$A$2:$A$200,0)),"нет в справочнике"))</f>
        <v/>
      </c>
      <c r="F28" s="6"/>
      <c r="G28" s="8" t="str">
        <f aca="false">IF(D28="","",IFERROR(INDEX(Товары!$C$2:$C$200,MATCH(D28,Товары!$A$2:$A$200,0)),0))</f>
        <v/>
      </c>
      <c r="H28" s="8" t="str">
        <f aca="false">IF(D28="","",F28*G28)</f>
        <v/>
      </c>
      <c r="I28" s="8" t="str">
        <f aca="false">IF(D28="","",F28*IFERROR(INDEX(Товары!$D$2:$D$200,MATCH(D28,Товары!$A$2:$A$200,0)),0))</f>
        <v/>
      </c>
      <c r="J28" s="8" t="str">
        <f aca="false">IF(D28="","",H28-I28)</f>
        <v/>
      </c>
      <c r="K28" s="7" t="str">
        <f aca="false">IF(A28="","",MONTH(A28))</f>
        <v/>
      </c>
      <c r="L28" s="7" t="str">
        <f aca="false">IF(A28="","",YEAR(A28))</f>
        <v/>
      </c>
      <c r="M28" s="9" t="str">
        <f aca="false">IF(B28="","",B28&amp;"|"&amp;COUNTIF(B$2:B28,B28))</f>
        <v/>
      </c>
    </row>
    <row r="29" customFormat="false" ht="15" hidden="false" customHeight="false" outlineLevel="0" collapsed="false">
      <c r="A29" s="5"/>
      <c r="B29" s="6"/>
      <c r="C29" s="6"/>
      <c r="D29" s="6"/>
      <c r="E29" s="7" t="str">
        <f aca="false">IF(D29="","",IFERROR(INDEX(Товары!$B$2:$B$200,MATCH(D29,Товары!$A$2:$A$200,0)),"нет в справочнике"))</f>
        <v/>
      </c>
      <c r="F29" s="6"/>
      <c r="G29" s="8" t="str">
        <f aca="false">IF(D29="","",IFERROR(INDEX(Товары!$C$2:$C$200,MATCH(D29,Товары!$A$2:$A$200,0)),0))</f>
        <v/>
      </c>
      <c r="H29" s="8" t="str">
        <f aca="false">IF(D29="","",F29*G29)</f>
        <v/>
      </c>
      <c r="I29" s="8" t="str">
        <f aca="false">IF(D29="","",F29*IFERROR(INDEX(Товары!$D$2:$D$200,MATCH(D29,Товары!$A$2:$A$200,0)),0))</f>
        <v/>
      </c>
      <c r="J29" s="8" t="str">
        <f aca="false">IF(D29="","",H29-I29)</f>
        <v/>
      </c>
      <c r="K29" s="7" t="str">
        <f aca="false">IF(A29="","",MONTH(A29))</f>
        <v/>
      </c>
      <c r="L29" s="7" t="str">
        <f aca="false">IF(A29="","",YEAR(A29))</f>
        <v/>
      </c>
      <c r="M29" s="9" t="str">
        <f aca="false">IF(B29="","",B29&amp;"|"&amp;COUNTIF(B$2:B29,B29))</f>
        <v/>
      </c>
    </row>
    <row r="30" customFormat="false" ht="15" hidden="false" customHeight="false" outlineLevel="0" collapsed="false">
      <c r="A30" s="5"/>
      <c r="B30" s="6"/>
      <c r="C30" s="6"/>
      <c r="D30" s="6"/>
      <c r="E30" s="7" t="str">
        <f aca="false">IF(D30="","",IFERROR(INDEX(Товары!$B$2:$B$200,MATCH(D30,Товары!$A$2:$A$200,0)),"нет в справочнике"))</f>
        <v/>
      </c>
      <c r="F30" s="6"/>
      <c r="G30" s="8" t="str">
        <f aca="false">IF(D30="","",IFERROR(INDEX(Товары!$C$2:$C$200,MATCH(D30,Товары!$A$2:$A$200,0)),0))</f>
        <v/>
      </c>
      <c r="H30" s="8" t="str">
        <f aca="false">IF(D30="","",F30*G30)</f>
        <v/>
      </c>
      <c r="I30" s="8" t="str">
        <f aca="false">IF(D30="","",F30*IFERROR(INDEX(Товары!$D$2:$D$200,MATCH(D30,Товары!$A$2:$A$200,0)),0))</f>
        <v/>
      </c>
      <c r="J30" s="8" t="str">
        <f aca="false">IF(D30="","",H30-I30)</f>
        <v/>
      </c>
      <c r="K30" s="7" t="str">
        <f aca="false">IF(A30="","",MONTH(A30))</f>
        <v/>
      </c>
      <c r="L30" s="7" t="str">
        <f aca="false">IF(A30="","",YEAR(A30))</f>
        <v/>
      </c>
      <c r="M30" s="9" t="str">
        <f aca="false">IF(B30="","",B30&amp;"|"&amp;COUNTIF(B$2:B30,B30))</f>
        <v/>
      </c>
    </row>
    <row r="31" customFormat="false" ht="15" hidden="false" customHeight="false" outlineLevel="0" collapsed="false">
      <c r="A31" s="5"/>
      <c r="B31" s="6"/>
      <c r="C31" s="6"/>
      <c r="D31" s="6"/>
      <c r="E31" s="7" t="str">
        <f aca="false">IF(D31="","",IFERROR(INDEX(Товары!$B$2:$B$200,MATCH(D31,Товары!$A$2:$A$200,0)),"нет в справочнике"))</f>
        <v/>
      </c>
      <c r="F31" s="6"/>
      <c r="G31" s="8" t="str">
        <f aca="false">IF(D31="","",IFERROR(INDEX(Товары!$C$2:$C$200,MATCH(D31,Товары!$A$2:$A$200,0)),0))</f>
        <v/>
      </c>
      <c r="H31" s="8" t="str">
        <f aca="false">IF(D31="","",F31*G31)</f>
        <v/>
      </c>
      <c r="I31" s="8" t="str">
        <f aca="false">IF(D31="","",F31*IFERROR(INDEX(Товары!$D$2:$D$200,MATCH(D31,Товары!$A$2:$A$200,0)),0))</f>
        <v/>
      </c>
      <c r="J31" s="8" t="str">
        <f aca="false">IF(D31="","",H31-I31)</f>
        <v/>
      </c>
      <c r="K31" s="7" t="str">
        <f aca="false">IF(A31="","",MONTH(A31))</f>
        <v/>
      </c>
      <c r="L31" s="7" t="str">
        <f aca="false">IF(A31="","",YEAR(A31))</f>
        <v/>
      </c>
      <c r="M31" s="9" t="str">
        <f aca="false">IF(B31="","",B31&amp;"|"&amp;COUNTIF(B$2:B31,B31))</f>
        <v/>
      </c>
    </row>
    <row r="32" customFormat="false" ht="15" hidden="false" customHeight="false" outlineLevel="0" collapsed="false">
      <c r="A32" s="5"/>
      <c r="B32" s="6"/>
      <c r="C32" s="6"/>
      <c r="D32" s="6"/>
      <c r="E32" s="7" t="str">
        <f aca="false">IF(D32="","",IFERROR(INDEX(Товары!$B$2:$B$200,MATCH(D32,Товары!$A$2:$A$200,0)),"нет в справочнике"))</f>
        <v/>
      </c>
      <c r="F32" s="6"/>
      <c r="G32" s="8" t="str">
        <f aca="false">IF(D32="","",IFERROR(INDEX(Товары!$C$2:$C$200,MATCH(D32,Товары!$A$2:$A$200,0)),0))</f>
        <v/>
      </c>
      <c r="H32" s="8" t="str">
        <f aca="false">IF(D32="","",F32*G32)</f>
        <v/>
      </c>
      <c r="I32" s="8" t="str">
        <f aca="false">IF(D32="","",F32*IFERROR(INDEX(Товары!$D$2:$D$200,MATCH(D32,Товары!$A$2:$A$200,0)),0))</f>
        <v/>
      </c>
      <c r="J32" s="8" t="str">
        <f aca="false">IF(D32="","",H32-I32)</f>
        <v/>
      </c>
      <c r="K32" s="7" t="str">
        <f aca="false">IF(A32="","",MONTH(A32))</f>
        <v/>
      </c>
      <c r="L32" s="7" t="str">
        <f aca="false">IF(A32="","",YEAR(A32))</f>
        <v/>
      </c>
      <c r="M32" s="9" t="str">
        <f aca="false">IF(B32="","",B32&amp;"|"&amp;COUNTIF(B$2:B32,B32))</f>
        <v/>
      </c>
    </row>
    <row r="33" customFormat="false" ht="15" hidden="false" customHeight="false" outlineLevel="0" collapsed="false">
      <c r="A33" s="5"/>
      <c r="B33" s="6"/>
      <c r="C33" s="6"/>
      <c r="D33" s="6"/>
      <c r="E33" s="7" t="str">
        <f aca="false">IF(D33="","",IFERROR(INDEX(Товары!$B$2:$B$200,MATCH(D33,Товары!$A$2:$A$200,0)),"нет в справочнике"))</f>
        <v/>
      </c>
      <c r="F33" s="6"/>
      <c r="G33" s="8" t="str">
        <f aca="false">IF(D33="","",IFERROR(INDEX(Товары!$C$2:$C$200,MATCH(D33,Товары!$A$2:$A$200,0)),0))</f>
        <v/>
      </c>
      <c r="H33" s="8" t="str">
        <f aca="false">IF(D33="","",F33*G33)</f>
        <v/>
      </c>
      <c r="I33" s="8" t="str">
        <f aca="false">IF(D33="","",F33*IFERROR(INDEX(Товары!$D$2:$D$200,MATCH(D33,Товары!$A$2:$A$200,0)),0))</f>
        <v/>
      </c>
      <c r="J33" s="8" t="str">
        <f aca="false">IF(D33="","",H33-I33)</f>
        <v/>
      </c>
      <c r="K33" s="7" t="str">
        <f aca="false">IF(A33="","",MONTH(A33))</f>
        <v/>
      </c>
      <c r="L33" s="7" t="str">
        <f aca="false">IF(A33="","",YEAR(A33))</f>
        <v/>
      </c>
      <c r="M33" s="9" t="str">
        <f aca="false">IF(B33="","",B33&amp;"|"&amp;COUNTIF(B$2:B33,B33))</f>
        <v/>
      </c>
    </row>
    <row r="34" customFormat="false" ht="15" hidden="false" customHeight="false" outlineLevel="0" collapsed="false">
      <c r="A34" s="5"/>
      <c r="B34" s="6"/>
      <c r="C34" s="6"/>
      <c r="D34" s="6"/>
      <c r="E34" s="7" t="str">
        <f aca="false">IF(D34="","",IFERROR(INDEX(Товары!$B$2:$B$200,MATCH(D34,Товары!$A$2:$A$200,0)),"нет в справочнике"))</f>
        <v/>
      </c>
      <c r="F34" s="6"/>
      <c r="G34" s="8" t="str">
        <f aca="false">IF(D34="","",IFERROR(INDEX(Товары!$C$2:$C$200,MATCH(D34,Товары!$A$2:$A$200,0)),0))</f>
        <v/>
      </c>
      <c r="H34" s="8" t="str">
        <f aca="false">IF(D34="","",F34*G34)</f>
        <v/>
      </c>
      <c r="I34" s="8" t="str">
        <f aca="false">IF(D34="","",F34*IFERROR(INDEX(Товары!$D$2:$D$200,MATCH(D34,Товары!$A$2:$A$200,0)),0))</f>
        <v/>
      </c>
      <c r="J34" s="8" t="str">
        <f aca="false">IF(D34="","",H34-I34)</f>
        <v/>
      </c>
      <c r="K34" s="7" t="str">
        <f aca="false">IF(A34="","",MONTH(A34))</f>
        <v/>
      </c>
      <c r="L34" s="7" t="str">
        <f aca="false">IF(A34="","",YEAR(A34))</f>
        <v/>
      </c>
      <c r="M34" s="9" t="str">
        <f aca="false">IF(B34="","",B34&amp;"|"&amp;COUNTIF(B$2:B34,B34))</f>
        <v/>
      </c>
    </row>
    <row r="35" customFormat="false" ht="15" hidden="false" customHeight="false" outlineLevel="0" collapsed="false">
      <c r="A35" s="5"/>
      <c r="B35" s="6"/>
      <c r="C35" s="6"/>
      <c r="D35" s="6"/>
      <c r="E35" s="7" t="str">
        <f aca="false">IF(D35="","",IFERROR(INDEX(Товары!$B$2:$B$200,MATCH(D35,Товары!$A$2:$A$200,0)),"нет в справочнике"))</f>
        <v/>
      </c>
      <c r="F35" s="6"/>
      <c r="G35" s="8" t="str">
        <f aca="false">IF(D35="","",IFERROR(INDEX(Товары!$C$2:$C$200,MATCH(D35,Товары!$A$2:$A$200,0)),0))</f>
        <v/>
      </c>
      <c r="H35" s="8" t="str">
        <f aca="false">IF(D35="","",F35*G35)</f>
        <v/>
      </c>
      <c r="I35" s="8" t="str">
        <f aca="false">IF(D35="","",F35*IFERROR(INDEX(Товары!$D$2:$D$200,MATCH(D35,Товары!$A$2:$A$200,0)),0))</f>
        <v/>
      </c>
      <c r="J35" s="8" t="str">
        <f aca="false">IF(D35="","",H35-I35)</f>
        <v/>
      </c>
      <c r="K35" s="7" t="str">
        <f aca="false">IF(A35="","",MONTH(A35))</f>
        <v/>
      </c>
      <c r="L35" s="7" t="str">
        <f aca="false">IF(A35="","",YEAR(A35))</f>
        <v/>
      </c>
      <c r="M35" s="9" t="str">
        <f aca="false">IF(B35="","",B35&amp;"|"&amp;COUNTIF(B$2:B35,B35))</f>
        <v/>
      </c>
    </row>
    <row r="36" customFormat="false" ht="15" hidden="false" customHeight="false" outlineLevel="0" collapsed="false">
      <c r="A36" s="5"/>
      <c r="B36" s="6"/>
      <c r="C36" s="6"/>
      <c r="D36" s="6"/>
      <c r="E36" s="7" t="str">
        <f aca="false">IF(D36="","",IFERROR(INDEX(Товары!$B$2:$B$200,MATCH(D36,Товары!$A$2:$A$200,0)),"нет в справочнике"))</f>
        <v/>
      </c>
      <c r="F36" s="6"/>
      <c r="G36" s="8" t="str">
        <f aca="false">IF(D36="","",IFERROR(INDEX(Товары!$C$2:$C$200,MATCH(D36,Товары!$A$2:$A$200,0)),0))</f>
        <v/>
      </c>
      <c r="H36" s="8" t="str">
        <f aca="false">IF(D36="","",F36*G36)</f>
        <v/>
      </c>
      <c r="I36" s="8" t="str">
        <f aca="false">IF(D36="","",F36*IFERROR(INDEX(Товары!$D$2:$D$200,MATCH(D36,Товары!$A$2:$A$200,0)),0))</f>
        <v/>
      </c>
      <c r="J36" s="8" t="str">
        <f aca="false">IF(D36="","",H36-I36)</f>
        <v/>
      </c>
      <c r="K36" s="7" t="str">
        <f aca="false">IF(A36="","",MONTH(A36))</f>
        <v/>
      </c>
      <c r="L36" s="7" t="str">
        <f aca="false">IF(A36="","",YEAR(A36))</f>
        <v/>
      </c>
      <c r="M36" s="9" t="str">
        <f aca="false">IF(B36="","",B36&amp;"|"&amp;COUNTIF(B$2:B36,B36))</f>
        <v/>
      </c>
    </row>
    <row r="37" customFormat="false" ht="15" hidden="false" customHeight="false" outlineLevel="0" collapsed="false">
      <c r="A37" s="5"/>
      <c r="B37" s="6"/>
      <c r="C37" s="6"/>
      <c r="D37" s="6"/>
      <c r="E37" s="7" t="str">
        <f aca="false">IF(D37="","",IFERROR(INDEX(Товары!$B$2:$B$200,MATCH(D37,Товары!$A$2:$A$200,0)),"нет в справочнике"))</f>
        <v/>
      </c>
      <c r="F37" s="6"/>
      <c r="G37" s="8" t="str">
        <f aca="false">IF(D37="","",IFERROR(INDEX(Товары!$C$2:$C$200,MATCH(D37,Товары!$A$2:$A$200,0)),0))</f>
        <v/>
      </c>
      <c r="H37" s="8" t="str">
        <f aca="false">IF(D37="","",F37*G37)</f>
        <v/>
      </c>
      <c r="I37" s="8" t="str">
        <f aca="false">IF(D37="","",F37*IFERROR(INDEX(Товары!$D$2:$D$200,MATCH(D37,Товары!$A$2:$A$200,0)),0))</f>
        <v/>
      </c>
      <c r="J37" s="8" t="str">
        <f aca="false">IF(D37="","",H37-I37)</f>
        <v/>
      </c>
      <c r="K37" s="7" t="str">
        <f aca="false">IF(A37="","",MONTH(A37))</f>
        <v/>
      </c>
      <c r="L37" s="7" t="str">
        <f aca="false">IF(A37="","",YEAR(A37))</f>
        <v/>
      </c>
      <c r="M37" s="9" t="str">
        <f aca="false">IF(B37="","",B37&amp;"|"&amp;COUNTIF(B$2:B37,B37))</f>
        <v/>
      </c>
    </row>
    <row r="38" customFormat="false" ht="15" hidden="false" customHeight="false" outlineLevel="0" collapsed="false">
      <c r="A38" s="5"/>
      <c r="B38" s="6"/>
      <c r="C38" s="6"/>
      <c r="D38" s="6"/>
      <c r="E38" s="7" t="str">
        <f aca="false">IF(D38="","",IFERROR(INDEX(Товары!$B$2:$B$200,MATCH(D38,Товары!$A$2:$A$200,0)),"нет в справочнике"))</f>
        <v/>
      </c>
      <c r="F38" s="6"/>
      <c r="G38" s="8" t="str">
        <f aca="false">IF(D38="","",IFERROR(INDEX(Товары!$C$2:$C$200,MATCH(D38,Товары!$A$2:$A$200,0)),0))</f>
        <v/>
      </c>
      <c r="H38" s="8" t="str">
        <f aca="false">IF(D38="","",F38*G38)</f>
        <v/>
      </c>
      <c r="I38" s="8" t="str">
        <f aca="false">IF(D38="","",F38*IFERROR(INDEX(Товары!$D$2:$D$200,MATCH(D38,Товары!$A$2:$A$200,0)),0))</f>
        <v/>
      </c>
      <c r="J38" s="8" t="str">
        <f aca="false">IF(D38="","",H38-I38)</f>
        <v/>
      </c>
      <c r="K38" s="7" t="str">
        <f aca="false">IF(A38="","",MONTH(A38))</f>
        <v/>
      </c>
      <c r="L38" s="7" t="str">
        <f aca="false">IF(A38="","",YEAR(A38))</f>
        <v/>
      </c>
      <c r="M38" s="9" t="str">
        <f aca="false">IF(B38="","",B38&amp;"|"&amp;COUNTIF(B$2:B38,B38))</f>
        <v/>
      </c>
    </row>
    <row r="39" customFormat="false" ht="15" hidden="false" customHeight="false" outlineLevel="0" collapsed="false">
      <c r="A39" s="5"/>
      <c r="B39" s="6"/>
      <c r="C39" s="6"/>
      <c r="D39" s="6"/>
      <c r="E39" s="7" t="str">
        <f aca="false">IF(D39="","",IFERROR(INDEX(Товары!$B$2:$B$200,MATCH(D39,Товары!$A$2:$A$200,0)),"нет в справочнике"))</f>
        <v/>
      </c>
      <c r="F39" s="6"/>
      <c r="G39" s="8" t="str">
        <f aca="false">IF(D39="","",IFERROR(INDEX(Товары!$C$2:$C$200,MATCH(D39,Товары!$A$2:$A$200,0)),0))</f>
        <v/>
      </c>
      <c r="H39" s="8" t="str">
        <f aca="false">IF(D39="","",F39*G39)</f>
        <v/>
      </c>
      <c r="I39" s="8" t="str">
        <f aca="false">IF(D39="","",F39*IFERROR(INDEX(Товары!$D$2:$D$200,MATCH(D39,Товары!$A$2:$A$200,0)),0))</f>
        <v/>
      </c>
      <c r="J39" s="8" t="str">
        <f aca="false">IF(D39="","",H39-I39)</f>
        <v/>
      </c>
      <c r="K39" s="7" t="str">
        <f aca="false">IF(A39="","",MONTH(A39))</f>
        <v/>
      </c>
      <c r="L39" s="7" t="str">
        <f aca="false">IF(A39="","",YEAR(A39))</f>
        <v/>
      </c>
      <c r="M39" s="9" t="str">
        <f aca="false">IF(B39="","",B39&amp;"|"&amp;COUNTIF(B$2:B39,B39))</f>
        <v/>
      </c>
    </row>
    <row r="40" customFormat="false" ht="15" hidden="false" customHeight="false" outlineLevel="0" collapsed="false">
      <c r="A40" s="5"/>
      <c r="B40" s="6"/>
      <c r="C40" s="6"/>
      <c r="D40" s="6"/>
      <c r="E40" s="7" t="str">
        <f aca="false">IF(D40="","",IFERROR(INDEX(Товары!$B$2:$B$200,MATCH(D40,Товары!$A$2:$A$200,0)),"нет в справочнике"))</f>
        <v/>
      </c>
      <c r="F40" s="6"/>
      <c r="G40" s="8" t="str">
        <f aca="false">IF(D40="","",IFERROR(INDEX(Товары!$C$2:$C$200,MATCH(D40,Товары!$A$2:$A$200,0)),0))</f>
        <v/>
      </c>
      <c r="H40" s="8" t="str">
        <f aca="false">IF(D40="","",F40*G40)</f>
        <v/>
      </c>
      <c r="I40" s="8" t="str">
        <f aca="false">IF(D40="","",F40*IFERROR(INDEX(Товары!$D$2:$D$200,MATCH(D40,Товары!$A$2:$A$200,0)),0))</f>
        <v/>
      </c>
      <c r="J40" s="8" t="str">
        <f aca="false">IF(D40="","",H40-I40)</f>
        <v/>
      </c>
      <c r="K40" s="7" t="str">
        <f aca="false">IF(A40="","",MONTH(A40))</f>
        <v/>
      </c>
      <c r="L40" s="7" t="str">
        <f aca="false">IF(A40="","",YEAR(A40))</f>
        <v/>
      </c>
      <c r="M40" s="9" t="str">
        <f aca="false">IF(B40="","",B40&amp;"|"&amp;COUNTIF(B$2:B40,B40))</f>
        <v/>
      </c>
    </row>
    <row r="41" customFormat="false" ht="15" hidden="false" customHeight="false" outlineLevel="0" collapsed="false">
      <c r="A41" s="5"/>
      <c r="B41" s="6"/>
      <c r="C41" s="6"/>
      <c r="D41" s="6"/>
      <c r="E41" s="7" t="str">
        <f aca="false">IF(D41="","",IFERROR(INDEX(Товары!$B$2:$B$200,MATCH(D41,Товары!$A$2:$A$200,0)),"нет в справочнике"))</f>
        <v/>
      </c>
      <c r="F41" s="6"/>
      <c r="G41" s="8" t="str">
        <f aca="false">IF(D41="","",IFERROR(INDEX(Товары!$C$2:$C$200,MATCH(D41,Товары!$A$2:$A$200,0)),0))</f>
        <v/>
      </c>
      <c r="H41" s="8" t="str">
        <f aca="false">IF(D41="","",F41*G41)</f>
        <v/>
      </c>
      <c r="I41" s="8" t="str">
        <f aca="false">IF(D41="","",F41*IFERROR(INDEX(Товары!$D$2:$D$200,MATCH(D41,Товары!$A$2:$A$200,0)),0))</f>
        <v/>
      </c>
      <c r="J41" s="8" t="str">
        <f aca="false">IF(D41="","",H41-I41)</f>
        <v/>
      </c>
      <c r="K41" s="7" t="str">
        <f aca="false">IF(A41="","",MONTH(A41))</f>
        <v/>
      </c>
      <c r="L41" s="7" t="str">
        <f aca="false">IF(A41="","",YEAR(A41))</f>
        <v/>
      </c>
      <c r="M41" s="9" t="str">
        <f aca="false">IF(B41="","",B41&amp;"|"&amp;COUNTIF(B$2:B41,B41))</f>
        <v/>
      </c>
    </row>
    <row r="42" customFormat="false" ht="15" hidden="false" customHeight="false" outlineLevel="0" collapsed="false">
      <c r="A42" s="5"/>
      <c r="B42" s="6"/>
      <c r="C42" s="6"/>
      <c r="D42" s="6"/>
      <c r="E42" s="7" t="str">
        <f aca="false">IF(D42="","",IFERROR(INDEX(Товары!$B$2:$B$200,MATCH(D42,Товары!$A$2:$A$200,0)),"нет в справочнике"))</f>
        <v/>
      </c>
      <c r="F42" s="6"/>
      <c r="G42" s="8" t="str">
        <f aca="false">IF(D42="","",IFERROR(INDEX(Товары!$C$2:$C$200,MATCH(D42,Товары!$A$2:$A$200,0)),0))</f>
        <v/>
      </c>
      <c r="H42" s="8" t="str">
        <f aca="false">IF(D42="","",F42*G42)</f>
        <v/>
      </c>
      <c r="I42" s="8" t="str">
        <f aca="false">IF(D42="","",F42*IFERROR(INDEX(Товары!$D$2:$D$200,MATCH(D42,Товары!$A$2:$A$200,0)),0))</f>
        <v/>
      </c>
      <c r="J42" s="8" t="str">
        <f aca="false">IF(D42="","",H42-I42)</f>
        <v/>
      </c>
      <c r="K42" s="7" t="str">
        <f aca="false">IF(A42="","",MONTH(A42))</f>
        <v/>
      </c>
      <c r="L42" s="7" t="str">
        <f aca="false">IF(A42="","",YEAR(A42))</f>
        <v/>
      </c>
      <c r="M42" s="9" t="str">
        <f aca="false">IF(B42="","",B42&amp;"|"&amp;COUNTIF(B$2:B42,B42))</f>
        <v/>
      </c>
    </row>
    <row r="43" customFormat="false" ht="15" hidden="false" customHeight="false" outlineLevel="0" collapsed="false">
      <c r="A43" s="5"/>
      <c r="B43" s="6"/>
      <c r="C43" s="6"/>
      <c r="D43" s="6"/>
      <c r="E43" s="7" t="str">
        <f aca="false">IF(D43="","",IFERROR(INDEX(Товары!$B$2:$B$200,MATCH(D43,Товары!$A$2:$A$200,0)),"нет в справочнике"))</f>
        <v/>
      </c>
      <c r="F43" s="6"/>
      <c r="G43" s="8" t="str">
        <f aca="false">IF(D43="","",IFERROR(INDEX(Товары!$C$2:$C$200,MATCH(D43,Товары!$A$2:$A$200,0)),0))</f>
        <v/>
      </c>
      <c r="H43" s="8" t="str">
        <f aca="false">IF(D43="","",F43*G43)</f>
        <v/>
      </c>
      <c r="I43" s="8" t="str">
        <f aca="false">IF(D43="","",F43*IFERROR(INDEX(Товары!$D$2:$D$200,MATCH(D43,Товары!$A$2:$A$200,0)),0))</f>
        <v/>
      </c>
      <c r="J43" s="8" t="str">
        <f aca="false">IF(D43="","",H43-I43)</f>
        <v/>
      </c>
      <c r="K43" s="7" t="str">
        <f aca="false">IF(A43="","",MONTH(A43))</f>
        <v/>
      </c>
      <c r="L43" s="7" t="str">
        <f aca="false">IF(A43="","",YEAR(A43))</f>
        <v/>
      </c>
      <c r="M43" s="9" t="str">
        <f aca="false">IF(B43="","",B43&amp;"|"&amp;COUNTIF(B$2:B43,B43))</f>
        <v/>
      </c>
    </row>
    <row r="44" customFormat="false" ht="15" hidden="false" customHeight="false" outlineLevel="0" collapsed="false">
      <c r="A44" s="5"/>
      <c r="B44" s="6"/>
      <c r="C44" s="6"/>
      <c r="D44" s="6"/>
      <c r="E44" s="7" t="str">
        <f aca="false">IF(D44="","",IFERROR(INDEX(Товары!$B$2:$B$200,MATCH(D44,Товары!$A$2:$A$200,0)),"нет в справочнике"))</f>
        <v/>
      </c>
      <c r="F44" s="6"/>
      <c r="G44" s="8" t="str">
        <f aca="false">IF(D44="","",IFERROR(INDEX(Товары!$C$2:$C$200,MATCH(D44,Товары!$A$2:$A$200,0)),0))</f>
        <v/>
      </c>
      <c r="H44" s="8" t="str">
        <f aca="false">IF(D44="","",F44*G44)</f>
        <v/>
      </c>
      <c r="I44" s="8" t="str">
        <f aca="false">IF(D44="","",F44*IFERROR(INDEX(Товары!$D$2:$D$200,MATCH(D44,Товары!$A$2:$A$200,0)),0))</f>
        <v/>
      </c>
      <c r="J44" s="8" t="str">
        <f aca="false">IF(D44="","",H44-I44)</f>
        <v/>
      </c>
      <c r="K44" s="7" t="str">
        <f aca="false">IF(A44="","",MONTH(A44))</f>
        <v/>
      </c>
      <c r="L44" s="7" t="str">
        <f aca="false">IF(A44="","",YEAR(A44))</f>
        <v/>
      </c>
      <c r="M44" s="9" t="str">
        <f aca="false">IF(B44="","",B44&amp;"|"&amp;COUNTIF(B$2:B44,B44))</f>
        <v/>
      </c>
    </row>
    <row r="45" customFormat="false" ht="15" hidden="false" customHeight="false" outlineLevel="0" collapsed="false">
      <c r="A45" s="5"/>
      <c r="B45" s="6"/>
      <c r="C45" s="6"/>
      <c r="D45" s="6"/>
      <c r="E45" s="7" t="str">
        <f aca="false">IF(D45="","",IFERROR(INDEX(Товары!$B$2:$B$200,MATCH(D45,Товары!$A$2:$A$200,0)),"нет в справочнике"))</f>
        <v/>
      </c>
      <c r="F45" s="6"/>
      <c r="G45" s="8" t="str">
        <f aca="false">IF(D45="","",IFERROR(INDEX(Товары!$C$2:$C$200,MATCH(D45,Товары!$A$2:$A$200,0)),0))</f>
        <v/>
      </c>
      <c r="H45" s="8" t="str">
        <f aca="false">IF(D45="","",F45*G45)</f>
        <v/>
      </c>
      <c r="I45" s="8" t="str">
        <f aca="false">IF(D45="","",F45*IFERROR(INDEX(Товары!$D$2:$D$200,MATCH(D45,Товары!$A$2:$A$200,0)),0))</f>
        <v/>
      </c>
      <c r="J45" s="8" t="str">
        <f aca="false">IF(D45="","",H45-I45)</f>
        <v/>
      </c>
      <c r="K45" s="7" t="str">
        <f aca="false">IF(A45="","",MONTH(A45))</f>
        <v/>
      </c>
      <c r="L45" s="7" t="str">
        <f aca="false">IF(A45="","",YEAR(A45))</f>
        <v/>
      </c>
      <c r="M45" s="9" t="str">
        <f aca="false">IF(B45="","",B45&amp;"|"&amp;COUNTIF(B$2:B45,B45))</f>
        <v/>
      </c>
    </row>
    <row r="46" customFormat="false" ht="15" hidden="false" customHeight="false" outlineLevel="0" collapsed="false">
      <c r="A46" s="5"/>
      <c r="B46" s="6"/>
      <c r="C46" s="6"/>
      <c r="D46" s="6"/>
      <c r="E46" s="7" t="str">
        <f aca="false">IF(D46="","",IFERROR(INDEX(Товары!$B$2:$B$200,MATCH(D46,Товары!$A$2:$A$200,0)),"нет в справочнике"))</f>
        <v/>
      </c>
      <c r="F46" s="6"/>
      <c r="G46" s="8" t="str">
        <f aca="false">IF(D46="","",IFERROR(INDEX(Товары!$C$2:$C$200,MATCH(D46,Товары!$A$2:$A$200,0)),0))</f>
        <v/>
      </c>
      <c r="H46" s="8" t="str">
        <f aca="false">IF(D46="","",F46*G46)</f>
        <v/>
      </c>
      <c r="I46" s="8" t="str">
        <f aca="false">IF(D46="","",F46*IFERROR(INDEX(Товары!$D$2:$D$200,MATCH(D46,Товары!$A$2:$A$200,0)),0))</f>
        <v/>
      </c>
      <c r="J46" s="8" t="str">
        <f aca="false">IF(D46="","",H46-I46)</f>
        <v/>
      </c>
      <c r="K46" s="7" t="str">
        <f aca="false">IF(A46="","",MONTH(A46))</f>
        <v/>
      </c>
      <c r="L46" s="7" t="str">
        <f aca="false">IF(A46="","",YEAR(A46))</f>
        <v/>
      </c>
      <c r="M46" s="9" t="str">
        <f aca="false">IF(B46="","",B46&amp;"|"&amp;COUNTIF(B$2:B46,B46))</f>
        <v/>
      </c>
    </row>
    <row r="47" customFormat="false" ht="15" hidden="false" customHeight="false" outlineLevel="0" collapsed="false">
      <c r="A47" s="5"/>
      <c r="B47" s="6"/>
      <c r="C47" s="6"/>
      <c r="D47" s="6"/>
      <c r="E47" s="7" t="str">
        <f aca="false">IF(D47="","",IFERROR(INDEX(Товары!$B$2:$B$200,MATCH(D47,Товары!$A$2:$A$200,0)),"нет в справочнике"))</f>
        <v/>
      </c>
      <c r="F47" s="6"/>
      <c r="G47" s="8" t="str">
        <f aca="false">IF(D47="","",IFERROR(INDEX(Товары!$C$2:$C$200,MATCH(D47,Товары!$A$2:$A$200,0)),0))</f>
        <v/>
      </c>
      <c r="H47" s="8" t="str">
        <f aca="false">IF(D47="","",F47*G47)</f>
        <v/>
      </c>
      <c r="I47" s="8" t="str">
        <f aca="false">IF(D47="","",F47*IFERROR(INDEX(Товары!$D$2:$D$200,MATCH(D47,Товары!$A$2:$A$200,0)),0))</f>
        <v/>
      </c>
      <c r="J47" s="8" t="str">
        <f aca="false">IF(D47="","",H47-I47)</f>
        <v/>
      </c>
      <c r="K47" s="7" t="str">
        <f aca="false">IF(A47="","",MONTH(A47))</f>
        <v/>
      </c>
      <c r="L47" s="7" t="str">
        <f aca="false">IF(A47="","",YEAR(A47))</f>
        <v/>
      </c>
      <c r="M47" s="9" t="str">
        <f aca="false">IF(B47="","",B47&amp;"|"&amp;COUNTIF(B$2:B47,B47))</f>
        <v/>
      </c>
    </row>
    <row r="48" customFormat="false" ht="15" hidden="false" customHeight="false" outlineLevel="0" collapsed="false">
      <c r="A48" s="5"/>
      <c r="B48" s="6"/>
      <c r="C48" s="6"/>
      <c r="D48" s="6"/>
      <c r="E48" s="7" t="str">
        <f aca="false">IF(D48="","",IFERROR(INDEX(Товары!$B$2:$B$200,MATCH(D48,Товары!$A$2:$A$200,0)),"нет в справочнике"))</f>
        <v/>
      </c>
      <c r="F48" s="6"/>
      <c r="G48" s="8" t="str">
        <f aca="false">IF(D48="","",IFERROR(INDEX(Товары!$C$2:$C$200,MATCH(D48,Товары!$A$2:$A$200,0)),0))</f>
        <v/>
      </c>
      <c r="H48" s="8" t="str">
        <f aca="false">IF(D48="","",F48*G48)</f>
        <v/>
      </c>
      <c r="I48" s="8" t="str">
        <f aca="false">IF(D48="","",F48*IFERROR(INDEX(Товары!$D$2:$D$200,MATCH(D48,Товары!$A$2:$A$200,0)),0))</f>
        <v/>
      </c>
      <c r="J48" s="8" t="str">
        <f aca="false">IF(D48="","",H48-I48)</f>
        <v/>
      </c>
      <c r="K48" s="7" t="str">
        <f aca="false">IF(A48="","",MONTH(A48))</f>
        <v/>
      </c>
      <c r="L48" s="7" t="str">
        <f aca="false">IF(A48="","",YEAR(A48))</f>
        <v/>
      </c>
      <c r="M48" s="9" t="str">
        <f aca="false">IF(B48="","",B48&amp;"|"&amp;COUNTIF(B$2:B48,B48))</f>
        <v/>
      </c>
    </row>
    <row r="49" customFormat="false" ht="15" hidden="false" customHeight="false" outlineLevel="0" collapsed="false">
      <c r="A49" s="5"/>
      <c r="B49" s="6"/>
      <c r="C49" s="6"/>
      <c r="D49" s="6"/>
      <c r="E49" s="7" t="str">
        <f aca="false">IF(D49="","",IFERROR(INDEX(Товары!$B$2:$B$200,MATCH(D49,Товары!$A$2:$A$200,0)),"нет в справочнике"))</f>
        <v/>
      </c>
      <c r="F49" s="6"/>
      <c r="G49" s="8" t="str">
        <f aca="false">IF(D49="","",IFERROR(INDEX(Товары!$C$2:$C$200,MATCH(D49,Товары!$A$2:$A$200,0)),0))</f>
        <v/>
      </c>
      <c r="H49" s="8" t="str">
        <f aca="false">IF(D49="","",F49*G49)</f>
        <v/>
      </c>
      <c r="I49" s="8" t="str">
        <f aca="false">IF(D49="","",F49*IFERROR(INDEX(Товары!$D$2:$D$200,MATCH(D49,Товары!$A$2:$A$200,0)),0))</f>
        <v/>
      </c>
      <c r="J49" s="8" t="str">
        <f aca="false">IF(D49="","",H49-I49)</f>
        <v/>
      </c>
      <c r="K49" s="7" t="str">
        <f aca="false">IF(A49="","",MONTH(A49))</f>
        <v/>
      </c>
      <c r="L49" s="7" t="str">
        <f aca="false">IF(A49="","",YEAR(A49))</f>
        <v/>
      </c>
      <c r="M49" s="9" t="str">
        <f aca="false">IF(B49="","",B49&amp;"|"&amp;COUNTIF(B$2:B49,B49))</f>
        <v/>
      </c>
    </row>
    <row r="50" customFormat="false" ht="15" hidden="false" customHeight="false" outlineLevel="0" collapsed="false">
      <c r="A50" s="5"/>
      <c r="B50" s="6"/>
      <c r="C50" s="6"/>
      <c r="D50" s="6"/>
      <c r="E50" s="7" t="str">
        <f aca="false">IF(D50="","",IFERROR(INDEX(Товары!$B$2:$B$200,MATCH(D50,Товары!$A$2:$A$200,0)),"нет в справочнике"))</f>
        <v/>
      </c>
      <c r="F50" s="6"/>
      <c r="G50" s="8" t="str">
        <f aca="false">IF(D50="","",IFERROR(INDEX(Товары!$C$2:$C$200,MATCH(D50,Товары!$A$2:$A$200,0)),0))</f>
        <v/>
      </c>
      <c r="H50" s="8" t="str">
        <f aca="false">IF(D50="","",F50*G50)</f>
        <v/>
      </c>
      <c r="I50" s="8" t="str">
        <f aca="false">IF(D50="","",F50*IFERROR(INDEX(Товары!$D$2:$D$200,MATCH(D50,Товары!$A$2:$A$200,0)),0))</f>
        <v/>
      </c>
      <c r="J50" s="8" t="str">
        <f aca="false">IF(D50="","",H50-I50)</f>
        <v/>
      </c>
      <c r="K50" s="7" t="str">
        <f aca="false">IF(A50="","",MONTH(A50))</f>
        <v/>
      </c>
      <c r="L50" s="7" t="str">
        <f aca="false">IF(A50="","",YEAR(A50))</f>
        <v/>
      </c>
      <c r="M50" s="9" t="str">
        <f aca="false">IF(B50="","",B50&amp;"|"&amp;COUNTIF(B$2:B50,B50))</f>
        <v/>
      </c>
    </row>
    <row r="51" customFormat="false" ht="15" hidden="false" customHeight="false" outlineLevel="0" collapsed="false">
      <c r="A51" s="5"/>
      <c r="B51" s="6"/>
      <c r="C51" s="6"/>
      <c r="D51" s="6"/>
      <c r="E51" s="7" t="str">
        <f aca="false">IF(D51="","",IFERROR(INDEX(Товары!$B$2:$B$200,MATCH(D51,Товары!$A$2:$A$200,0)),"нет в справочнике"))</f>
        <v/>
      </c>
      <c r="F51" s="6"/>
      <c r="G51" s="8" t="str">
        <f aca="false">IF(D51="","",IFERROR(INDEX(Товары!$C$2:$C$200,MATCH(D51,Товары!$A$2:$A$200,0)),0))</f>
        <v/>
      </c>
      <c r="H51" s="8" t="str">
        <f aca="false">IF(D51="","",F51*G51)</f>
        <v/>
      </c>
      <c r="I51" s="8" t="str">
        <f aca="false">IF(D51="","",F51*IFERROR(INDEX(Товары!$D$2:$D$200,MATCH(D51,Товары!$A$2:$A$200,0)),0))</f>
        <v/>
      </c>
      <c r="J51" s="8" t="str">
        <f aca="false">IF(D51="","",H51-I51)</f>
        <v/>
      </c>
      <c r="K51" s="7" t="str">
        <f aca="false">IF(A51="","",MONTH(A51))</f>
        <v/>
      </c>
      <c r="L51" s="7" t="str">
        <f aca="false">IF(A51="","",YEAR(A51))</f>
        <v/>
      </c>
      <c r="M51" s="9" t="str">
        <f aca="false">IF(B51="","",B51&amp;"|"&amp;COUNTIF(B$2:B51,B51))</f>
        <v/>
      </c>
    </row>
    <row r="52" customFormat="false" ht="15" hidden="false" customHeight="false" outlineLevel="0" collapsed="false">
      <c r="A52" s="5"/>
      <c r="B52" s="6"/>
      <c r="C52" s="6"/>
      <c r="D52" s="6"/>
      <c r="E52" s="7" t="str">
        <f aca="false">IF(D52="","",IFERROR(INDEX(Товары!$B$2:$B$200,MATCH(D52,Товары!$A$2:$A$200,0)),"нет в справочнике"))</f>
        <v/>
      </c>
      <c r="F52" s="6"/>
      <c r="G52" s="8" t="str">
        <f aca="false">IF(D52="","",IFERROR(INDEX(Товары!$C$2:$C$200,MATCH(D52,Товары!$A$2:$A$200,0)),0))</f>
        <v/>
      </c>
      <c r="H52" s="8" t="str">
        <f aca="false">IF(D52="","",F52*G52)</f>
        <v/>
      </c>
      <c r="I52" s="8" t="str">
        <f aca="false">IF(D52="","",F52*IFERROR(INDEX(Товары!$D$2:$D$200,MATCH(D52,Товары!$A$2:$A$200,0)),0))</f>
        <v/>
      </c>
      <c r="J52" s="8" t="str">
        <f aca="false">IF(D52="","",H52-I52)</f>
        <v/>
      </c>
      <c r="K52" s="7" t="str">
        <f aca="false">IF(A52="","",MONTH(A52))</f>
        <v/>
      </c>
      <c r="L52" s="7" t="str">
        <f aca="false">IF(A52="","",YEAR(A52))</f>
        <v/>
      </c>
      <c r="M52" s="9" t="str">
        <f aca="false">IF(B52="","",B52&amp;"|"&amp;COUNTIF(B$2:B52,B52))</f>
        <v/>
      </c>
    </row>
    <row r="53" customFormat="false" ht="15" hidden="false" customHeight="false" outlineLevel="0" collapsed="false">
      <c r="A53" s="5"/>
      <c r="B53" s="6"/>
      <c r="C53" s="6"/>
      <c r="D53" s="6"/>
      <c r="E53" s="7" t="str">
        <f aca="false">IF(D53="","",IFERROR(INDEX(Товары!$B$2:$B$200,MATCH(D53,Товары!$A$2:$A$200,0)),"нет в справочнике"))</f>
        <v/>
      </c>
      <c r="F53" s="6"/>
      <c r="G53" s="8" t="str">
        <f aca="false">IF(D53="","",IFERROR(INDEX(Товары!$C$2:$C$200,MATCH(D53,Товары!$A$2:$A$200,0)),0))</f>
        <v/>
      </c>
      <c r="H53" s="8" t="str">
        <f aca="false">IF(D53="","",F53*G53)</f>
        <v/>
      </c>
      <c r="I53" s="8" t="str">
        <f aca="false">IF(D53="","",F53*IFERROR(INDEX(Товары!$D$2:$D$200,MATCH(D53,Товары!$A$2:$A$200,0)),0))</f>
        <v/>
      </c>
      <c r="J53" s="8" t="str">
        <f aca="false">IF(D53="","",H53-I53)</f>
        <v/>
      </c>
      <c r="K53" s="7" t="str">
        <f aca="false">IF(A53="","",MONTH(A53))</f>
        <v/>
      </c>
      <c r="L53" s="7" t="str">
        <f aca="false">IF(A53="","",YEAR(A53))</f>
        <v/>
      </c>
      <c r="M53" s="9" t="str">
        <f aca="false">IF(B53="","",B53&amp;"|"&amp;COUNTIF(B$2:B53,B53))</f>
        <v/>
      </c>
    </row>
    <row r="54" customFormat="false" ht="15" hidden="false" customHeight="false" outlineLevel="0" collapsed="false">
      <c r="A54" s="5"/>
      <c r="B54" s="6"/>
      <c r="C54" s="6"/>
      <c r="D54" s="6"/>
      <c r="E54" s="7" t="str">
        <f aca="false">IF(D54="","",IFERROR(INDEX(Товары!$B$2:$B$200,MATCH(D54,Товары!$A$2:$A$200,0)),"нет в справочнике"))</f>
        <v/>
      </c>
      <c r="F54" s="6"/>
      <c r="G54" s="8" t="str">
        <f aca="false">IF(D54="","",IFERROR(INDEX(Товары!$C$2:$C$200,MATCH(D54,Товары!$A$2:$A$200,0)),0))</f>
        <v/>
      </c>
      <c r="H54" s="8" t="str">
        <f aca="false">IF(D54="","",F54*G54)</f>
        <v/>
      </c>
      <c r="I54" s="8" t="str">
        <f aca="false">IF(D54="","",F54*IFERROR(INDEX(Товары!$D$2:$D$200,MATCH(D54,Товары!$A$2:$A$200,0)),0))</f>
        <v/>
      </c>
      <c r="J54" s="8" t="str">
        <f aca="false">IF(D54="","",H54-I54)</f>
        <v/>
      </c>
      <c r="K54" s="7" t="str">
        <f aca="false">IF(A54="","",MONTH(A54))</f>
        <v/>
      </c>
      <c r="L54" s="7" t="str">
        <f aca="false">IF(A54="","",YEAR(A54))</f>
        <v/>
      </c>
      <c r="M54" s="9" t="str">
        <f aca="false">IF(B54="","",B54&amp;"|"&amp;COUNTIF(B$2:B54,B54))</f>
        <v/>
      </c>
    </row>
    <row r="55" customFormat="false" ht="15" hidden="false" customHeight="false" outlineLevel="0" collapsed="false">
      <c r="A55" s="5"/>
      <c r="B55" s="6"/>
      <c r="C55" s="6"/>
      <c r="D55" s="6"/>
      <c r="E55" s="7" t="str">
        <f aca="false">IF(D55="","",IFERROR(INDEX(Товары!$B$2:$B$200,MATCH(D55,Товары!$A$2:$A$200,0)),"нет в справочнике"))</f>
        <v/>
      </c>
      <c r="F55" s="6"/>
      <c r="G55" s="8" t="str">
        <f aca="false">IF(D55="","",IFERROR(INDEX(Товары!$C$2:$C$200,MATCH(D55,Товары!$A$2:$A$200,0)),0))</f>
        <v/>
      </c>
      <c r="H55" s="8" t="str">
        <f aca="false">IF(D55="","",F55*G55)</f>
        <v/>
      </c>
      <c r="I55" s="8" t="str">
        <f aca="false">IF(D55="","",F55*IFERROR(INDEX(Товары!$D$2:$D$200,MATCH(D55,Товары!$A$2:$A$200,0)),0))</f>
        <v/>
      </c>
      <c r="J55" s="8" t="str">
        <f aca="false">IF(D55="","",H55-I55)</f>
        <v/>
      </c>
      <c r="K55" s="7" t="str">
        <f aca="false">IF(A55="","",MONTH(A55))</f>
        <v/>
      </c>
      <c r="L55" s="7" t="str">
        <f aca="false">IF(A55="","",YEAR(A55))</f>
        <v/>
      </c>
      <c r="M55" s="9" t="str">
        <f aca="false">IF(B55="","",B55&amp;"|"&amp;COUNTIF(B$2:B55,B55))</f>
        <v/>
      </c>
    </row>
    <row r="56" customFormat="false" ht="15" hidden="false" customHeight="false" outlineLevel="0" collapsed="false">
      <c r="A56" s="5"/>
      <c r="B56" s="6"/>
      <c r="C56" s="6"/>
      <c r="D56" s="6"/>
      <c r="E56" s="7" t="str">
        <f aca="false">IF(D56="","",IFERROR(INDEX(Товары!$B$2:$B$200,MATCH(D56,Товары!$A$2:$A$200,0)),"нет в справочнике"))</f>
        <v/>
      </c>
      <c r="F56" s="6"/>
      <c r="G56" s="8" t="str">
        <f aca="false">IF(D56="","",IFERROR(INDEX(Товары!$C$2:$C$200,MATCH(D56,Товары!$A$2:$A$200,0)),0))</f>
        <v/>
      </c>
      <c r="H56" s="8" t="str">
        <f aca="false">IF(D56="","",F56*G56)</f>
        <v/>
      </c>
      <c r="I56" s="8" t="str">
        <f aca="false">IF(D56="","",F56*IFERROR(INDEX(Товары!$D$2:$D$200,MATCH(D56,Товары!$A$2:$A$200,0)),0))</f>
        <v/>
      </c>
      <c r="J56" s="8" t="str">
        <f aca="false">IF(D56="","",H56-I56)</f>
        <v/>
      </c>
      <c r="K56" s="7" t="str">
        <f aca="false">IF(A56="","",MONTH(A56))</f>
        <v/>
      </c>
      <c r="L56" s="7" t="str">
        <f aca="false">IF(A56="","",YEAR(A56))</f>
        <v/>
      </c>
      <c r="M56" s="9" t="str">
        <f aca="false">IF(B56="","",B56&amp;"|"&amp;COUNTIF(B$2:B56,B56))</f>
        <v/>
      </c>
    </row>
    <row r="57" customFormat="false" ht="15" hidden="false" customHeight="false" outlineLevel="0" collapsed="false">
      <c r="A57" s="5"/>
      <c r="B57" s="6"/>
      <c r="C57" s="6"/>
      <c r="D57" s="6"/>
      <c r="E57" s="7" t="str">
        <f aca="false">IF(D57="","",IFERROR(INDEX(Товары!$B$2:$B$200,MATCH(D57,Товары!$A$2:$A$200,0)),"нет в справочнике"))</f>
        <v/>
      </c>
      <c r="F57" s="6"/>
      <c r="G57" s="8" t="str">
        <f aca="false">IF(D57="","",IFERROR(INDEX(Товары!$C$2:$C$200,MATCH(D57,Товары!$A$2:$A$200,0)),0))</f>
        <v/>
      </c>
      <c r="H57" s="8" t="str">
        <f aca="false">IF(D57="","",F57*G57)</f>
        <v/>
      </c>
      <c r="I57" s="8" t="str">
        <f aca="false">IF(D57="","",F57*IFERROR(INDEX(Товары!$D$2:$D$200,MATCH(D57,Товары!$A$2:$A$200,0)),0))</f>
        <v/>
      </c>
      <c r="J57" s="8" t="str">
        <f aca="false">IF(D57="","",H57-I57)</f>
        <v/>
      </c>
      <c r="K57" s="7" t="str">
        <f aca="false">IF(A57="","",MONTH(A57))</f>
        <v/>
      </c>
      <c r="L57" s="7" t="str">
        <f aca="false">IF(A57="","",YEAR(A57))</f>
        <v/>
      </c>
      <c r="M57" s="9" t="str">
        <f aca="false">IF(B57="","",B57&amp;"|"&amp;COUNTIF(B$2:B57,B57))</f>
        <v/>
      </c>
    </row>
    <row r="58" customFormat="false" ht="15" hidden="false" customHeight="false" outlineLevel="0" collapsed="false">
      <c r="A58" s="5"/>
      <c r="B58" s="6"/>
      <c r="C58" s="6"/>
      <c r="D58" s="6"/>
      <c r="E58" s="7" t="str">
        <f aca="false">IF(D58="","",IFERROR(INDEX(Товары!$B$2:$B$200,MATCH(D58,Товары!$A$2:$A$200,0)),"нет в справочнике"))</f>
        <v/>
      </c>
      <c r="F58" s="6"/>
      <c r="G58" s="8" t="str">
        <f aca="false">IF(D58="","",IFERROR(INDEX(Товары!$C$2:$C$200,MATCH(D58,Товары!$A$2:$A$200,0)),0))</f>
        <v/>
      </c>
      <c r="H58" s="8" t="str">
        <f aca="false">IF(D58="","",F58*G58)</f>
        <v/>
      </c>
      <c r="I58" s="8" t="str">
        <f aca="false">IF(D58="","",F58*IFERROR(INDEX(Товары!$D$2:$D$200,MATCH(D58,Товары!$A$2:$A$200,0)),0))</f>
        <v/>
      </c>
      <c r="J58" s="8" t="str">
        <f aca="false">IF(D58="","",H58-I58)</f>
        <v/>
      </c>
      <c r="K58" s="7" t="str">
        <f aca="false">IF(A58="","",MONTH(A58))</f>
        <v/>
      </c>
      <c r="L58" s="7" t="str">
        <f aca="false">IF(A58="","",YEAR(A58))</f>
        <v/>
      </c>
      <c r="M58" s="9" t="str">
        <f aca="false">IF(B58="","",B58&amp;"|"&amp;COUNTIF(B$2:B58,B58))</f>
        <v/>
      </c>
    </row>
    <row r="59" customFormat="false" ht="15" hidden="false" customHeight="false" outlineLevel="0" collapsed="false">
      <c r="A59" s="5"/>
      <c r="B59" s="6"/>
      <c r="C59" s="6"/>
      <c r="D59" s="6"/>
      <c r="E59" s="7" t="str">
        <f aca="false">IF(D59="","",IFERROR(INDEX(Товары!$B$2:$B$200,MATCH(D59,Товары!$A$2:$A$200,0)),"нет в справочнике"))</f>
        <v/>
      </c>
      <c r="F59" s="6"/>
      <c r="G59" s="8" t="str">
        <f aca="false">IF(D59="","",IFERROR(INDEX(Товары!$C$2:$C$200,MATCH(D59,Товары!$A$2:$A$200,0)),0))</f>
        <v/>
      </c>
      <c r="H59" s="8" t="str">
        <f aca="false">IF(D59="","",F59*G59)</f>
        <v/>
      </c>
      <c r="I59" s="8" t="str">
        <f aca="false">IF(D59="","",F59*IFERROR(INDEX(Товары!$D$2:$D$200,MATCH(D59,Товары!$A$2:$A$200,0)),0))</f>
        <v/>
      </c>
      <c r="J59" s="8" t="str">
        <f aca="false">IF(D59="","",H59-I59)</f>
        <v/>
      </c>
      <c r="K59" s="7" t="str">
        <f aca="false">IF(A59="","",MONTH(A59))</f>
        <v/>
      </c>
      <c r="L59" s="7" t="str">
        <f aca="false">IF(A59="","",YEAR(A59))</f>
        <v/>
      </c>
      <c r="M59" s="9" t="str">
        <f aca="false">IF(B59="","",B59&amp;"|"&amp;COUNTIF(B$2:B59,B59))</f>
        <v/>
      </c>
    </row>
    <row r="60" customFormat="false" ht="15" hidden="false" customHeight="false" outlineLevel="0" collapsed="false">
      <c r="A60" s="5"/>
      <c r="B60" s="6"/>
      <c r="C60" s="6"/>
      <c r="D60" s="6"/>
      <c r="E60" s="7" t="str">
        <f aca="false">IF(D60="","",IFERROR(INDEX(Товары!$B$2:$B$200,MATCH(D60,Товары!$A$2:$A$200,0)),"нет в справочнике"))</f>
        <v/>
      </c>
      <c r="F60" s="6"/>
      <c r="G60" s="8" t="str">
        <f aca="false">IF(D60="","",IFERROR(INDEX(Товары!$C$2:$C$200,MATCH(D60,Товары!$A$2:$A$200,0)),0))</f>
        <v/>
      </c>
      <c r="H60" s="8" t="str">
        <f aca="false">IF(D60="","",F60*G60)</f>
        <v/>
      </c>
      <c r="I60" s="8" t="str">
        <f aca="false">IF(D60="","",F60*IFERROR(INDEX(Товары!$D$2:$D$200,MATCH(D60,Товары!$A$2:$A$200,0)),0))</f>
        <v/>
      </c>
      <c r="J60" s="8" t="str">
        <f aca="false">IF(D60="","",H60-I60)</f>
        <v/>
      </c>
      <c r="K60" s="7" t="str">
        <f aca="false">IF(A60="","",MONTH(A60))</f>
        <v/>
      </c>
      <c r="L60" s="7" t="str">
        <f aca="false">IF(A60="","",YEAR(A60))</f>
        <v/>
      </c>
      <c r="M60" s="9" t="str">
        <f aca="false">IF(B60="","",B60&amp;"|"&amp;COUNTIF(B$2:B60,B60))</f>
        <v/>
      </c>
    </row>
    <row r="61" customFormat="false" ht="15" hidden="false" customHeight="false" outlineLevel="0" collapsed="false">
      <c r="A61" s="5"/>
      <c r="B61" s="6"/>
      <c r="C61" s="6"/>
      <c r="D61" s="6"/>
      <c r="E61" s="7" t="str">
        <f aca="false">IF(D61="","",IFERROR(INDEX(Товары!$B$2:$B$200,MATCH(D61,Товары!$A$2:$A$200,0)),"нет в справочнике"))</f>
        <v/>
      </c>
      <c r="F61" s="6"/>
      <c r="G61" s="8" t="str">
        <f aca="false">IF(D61="","",IFERROR(INDEX(Товары!$C$2:$C$200,MATCH(D61,Товары!$A$2:$A$200,0)),0))</f>
        <v/>
      </c>
      <c r="H61" s="8" t="str">
        <f aca="false">IF(D61="","",F61*G61)</f>
        <v/>
      </c>
      <c r="I61" s="8" t="str">
        <f aca="false">IF(D61="","",F61*IFERROR(INDEX(Товары!$D$2:$D$200,MATCH(D61,Товары!$A$2:$A$200,0)),0))</f>
        <v/>
      </c>
      <c r="J61" s="8" t="str">
        <f aca="false">IF(D61="","",H61-I61)</f>
        <v/>
      </c>
      <c r="K61" s="7" t="str">
        <f aca="false">IF(A61="","",MONTH(A61))</f>
        <v/>
      </c>
      <c r="L61" s="7" t="str">
        <f aca="false">IF(A61="","",YEAR(A61))</f>
        <v/>
      </c>
      <c r="M61" s="9" t="str">
        <f aca="false">IF(B61="","",B61&amp;"|"&amp;COUNTIF(B$2:B61,B61))</f>
        <v/>
      </c>
    </row>
    <row r="62" customFormat="false" ht="15" hidden="false" customHeight="false" outlineLevel="0" collapsed="false">
      <c r="A62" s="5"/>
      <c r="B62" s="6"/>
      <c r="C62" s="6"/>
      <c r="D62" s="6"/>
      <c r="E62" s="7" t="str">
        <f aca="false">IF(D62="","",IFERROR(INDEX(Товары!$B$2:$B$200,MATCH(D62,Товары!$A$2:$A$200,0)),"нет в справочнике"))</f>
        <v/>
      </c>
      <c r="F62" s="6"/>
      <c r="G62" s="8" t="str">
        <f aca="false">IF(D62="","",IFERROR(INDEX(Товары!$C$2:$C$200,MATCH(D62,Товары!$A$2:$A$200,0)),0))</f>
        <v/>
      </c>
      <c r="H62" s="8" t="str">
        <f aca="false">IF(D62="","",F62*G62)</f>
        <v/>
      </c>
      <c r="I62" s="8" t="str">
        <f aca="false">IF(D62="","",F62*IFERROR(INDEX(Товары!$D$2:$D$200,MATCH(D62,Товары!$A$2:$A$200,0)),0))</f>
        <v/>
      </c>
      <c r="J62" s="8" t="str">
        <f aca="false">IF(D62="","",H62-I62)</f>
        <v/>
      </c>
      <c r="K62" s="7" t="str">
        <f aca="false">IF(A62="","",MONTH(A62))</f>
        <v/>
      </c>
      <c r="L62" s="7" t="str">
        <f aca="false">IF(A62="","",YEAR(A62))</f>
        <v/>
      </c>
      <c r="M62" s="9" t="str">
        <f aca="false">IF(B62="","",B62&amp;"|"&amp;COUNTIF(B$2:B62,B62))</f>
        <v/>
      </c>
    </row>
    <row r="63" customFormat="false" ht="15" hidden="false" customHeight="false" outlineLevel="0" collapsed="false">
      <c r="A63" s="5"/>
      <c r="B63" s="6"/>
      <c r="C63" s="6"/>
      <c r="D63" s="6"/>
      <c r="E63" s="7" t="str">
        <f aca="false">IF(D63="","",IFERROR(INDEX(Товары!$B$2:$B$200,MATCH(D63,Товары!$A$2:$A$200,0)),"нет в справочнике"))</f>
        <v/>
      </c>
      <c r="F63" s="6"/>
      <c r="G63" s="8" t="str">
        <f aca="false">IF(D63="","",IFERROR(INDEX(Товары!$C$2:$C$200,MATCH(D63,Товары!$A$2:$A$200,0)),0))</f>
        <v/>
      </c>
      <c r="H63" s="8" t="str">
        <f aca="false">IF(D63="","",F63*G63)</f>
        <v/>
      </c>
      <c r="I63" s="8" t="str">
        <f aca="false">IF(D63="","",F63*IFERROR(INDEX(Товары!$D$2:$D$200,MATCH(D63,Товары!$A$2:$A$200,0)),0))</f>
        <v/>
      </c>
      <c r="J63" s="8" t="str">
        <f aca="false">IF(D63="","",H63-I63)</f>
        <v/>
      </c>
      <c r="K63" s="7" t="str">
        <f aca="false">IF(A63="","",MONTH(A63))</f>
        <v/>
      </c>
      <c r="L63" s="7" t="str">
        <f aca="false">IF(A63="","",YEAR(A63))</f>
        <v/>
      </c>
      <c r="M63" s="9" t="str">
        <f aca="false">IF(B63="","",B63&amp;"|"&amp;COUNTIF(B$2:B63,B63))</f>
        <v/>
      </c>
    </row>
    <row r="64" customFormat="false" ht="15" hidden="false" customHeight="false" outlineLevel="0" collapsed="false">
      <c r="A64" s="5"/>
      <c r="B64" s="6"/>
      <c r="C64" s="6"/>
      <c r="D64" s="6"/>
      <c r="E64" s="7" t="str">
        <f aca="false">IF(D64="","",IFERROR(INDEX(Товары!$B$2:$B$200,MATCH(D64,Товары!$A$2:$A$200,0)),"нет в справочнике"))</f>
        <v/>
      </c>
      <c r="F64" s="6"/>
      <c r="G64" s="8" t="str">
        <f aca="false">IF(D64="","",IFERROR(INDEX(Товары!$C$2:$C$200,MATCH(D64,Товары!$A$2:$A$200,0)),0))</f>
        <v/>
      </c>
      <c r="H64" s="8" t="str">
        <f aca="false">IF(D64="","",F64*G64)</f>
        <v/>
      </c>
      <c r="I64" s="8" t="str">
        <f aca="false">IF(D64="","",F64*IFERROR(INDEX(Товары!$D$2:$D$200,MATCH(D64,Товары!$A$2:$A$200,0)),0))</f>
        <v/>
      </c>
      <c r="J64" s="8" t="str">
        <f aca="false">IF(D64="","",H64-I64)</f>
        <v/>
      </c>
      <c r="K64" s="7" t="str">
        <f aca="false">IF(A64="","",MONTH(A64))</f>
        <v/>
      </c>
      <c r="L64" s="7" t="str">
        <f aca="false">IF(A64="","",YEAR(A64))</f>
        <v/>
      </c>
      <c r="M64" s="9" t="str">
        <f aca="false">IF(B64="","",B64&amp;"|"&amp;COUNTIF(B$2:B64,B64))</f>
        <v/>
      </c>
    </row>
    <row r="65" customFormat="false" ht="15" hidden="false" customHeight="false" outlineLevel="0" collapsed="false">
      <c r="A65" s="5"/>
      <c r="B65" s="6"/>
      <c r="C65" s="6"/>
      <c r="D65" s="6"/>
      <c r="E65" s="7" t="str">
        <f aca="false">IF(D65="","",IFERROR(INDEX(Товары!$B$2:$B$200,MATCH(D65,Товары!$A$2:$A$200,0)),"нет в справочнике"))</f>
        <v/>
      </c>
      <c r="F65" s="6"/>
      <c r="G65" s="8" t="str">
        <f aca="false">IF(D65="","",IFERROR(INDEX(Товары!$C$2:$C$200,MATCH(D65,Товары!$A$2:$A$200,0)),0))</f>
        <v/>
      </c>
      <c r="H65" s="8" t="str">
        <f aca="false">IF(D65="","",F65*G65)</f>
        <v/>
      </c>
      <c r="I65" s="8" t="str">
        <f aca="false">IF(D65="","",F65*IFERROR(INDEX(Товары!$D$2:$D$200,MATCH(D65,Товары!$A$2:$A$200,0)),0))</f>
        <v/>
      </c>
      <c r="J65" s="8" t="str">
        <f aca="false">IF(D65="","",H65-I65)</f>
        <v/>
      </c>
      <c r="K65" s="7" t="str">
        <f aca="false">IF(A65="","",MONTH(A65))</f>
        <v/>
      </c>
      <c r="L65" s="7" t="str">
        <f aca="false">IF(A65="","",YEAR(A65))</f>
        <v/>
      </c>
      <c r="M65" s="9" t="str">
        <f aca="false">IF(B65="","",B65&amp;"|"&amp;COUNTIF(B$2:B65,B65))</f>
        <v/>
      </c>
    </row>
    <row r="66" customFormat="false" ht="15" hidden="false" customHeight="false" outlineLevel="0" collapsed="false">
      <c r="A66" s="5"/>
      <c r="B66" s="6"/>
      <c r="C66" s="6"/>
      <c r="D66" s="6"/>
      <c r="E66" s="7" t="str">
        <f aca="false">IF(D66="","",IFERROR(INDEX(Товары!$B$2:$B$200,MATCH(D66,Товары!$A$2:$A$200,0)),"нет в справочнике"))</f>
        <v/>
      </c>
      <c r="F66" s="6"/>
      <c r="G66" s="8" t="str">
        <f aca="false">IF(D66="","",IFERROR(INDEX(Товары!$C$2:$C$200,MATCH(D66,Товары!$A$2:$A$200,0)),0))</f>
        <v/>
      </c>
      <c r="H66" s="8" t="str">
        <f aca="false">IF(D66="","",F66*G66)</f>
        <v/>
      </c>
      <c r="I66" s="8" t="str">
        <f aca="false">IF(D66="","",F66*IFERROR(INDEX(Товары!$D$2:$D$200,MATCH(D66,Товары!$A$2:$A$200,0)),0))</f>
        <v/>
      </c>
      <c r="J66" s="8" t="str">
        <f aca="false">IF(D66="","",H66-I66)</f>
        <v/>
      </c>
      <c r="K66" s="7" t="str">
        <f aca="false">IF(A66="","",MONTH(A66))</f>
        <v/>
      </c>
      <c r="L66" s="7" t="str">
        <f aca="false">IF(A66="","",YEAR(A66))</f>
        <v/>
      </c>
      <c r="M66" s="9" t="str">
        <f aca="false">IF(B66="","",B66&amp;"|"&amp;COUNTIF(B$2:B66,B66))</f>
        <v/>
      </c>
    </row>
    <row r="67" customFormat="false" ht="15" hidden="false" customHeight="false" outlineLevel="0" collapsed="false">
      <c r="A67" s="5"/>
      <c r="B67" s="6"/>
      <c r="C67" s="6"/>
      <c r="D67" s="6"/>
      <c r="E67" s="7" t="str">
        <f aca="false">IF(D67="","",IFERROR(INDEX(Товары!$B$2:$B$200,MATCH(D67,Товары!$A$2:$A$200,0)),"нет в справочнике"))</f>
        <v/>
      </c>
      <c r="F67" s="6"/>
      <c r="G67" s="8" t="str">
        <f aca="false">IF(D67="","",IFERROR(INDEX(Товары!$C$2:$C$200,MATCH(D67,Товары!$A$2:$A$200,0)),0))</f>
        <v/>
      </c>
      <c r="H67" s="8" t="str">
        <f aca="false">IF(D67="","",F67*G67)</f>
        <v/>
      </c>
      <c r="I67" s="8" t="str">
        <f aca="false">IF(D67="","",F67*IFERROR(INDEX(Товары!$D$2:$D$200,MATCH(D67,Товары!$A$2:$A$200,0)),0))</f>
        <v/>
      </c>
      <c r="J67" s="8" t="str">
        <f aca="false">IF(D67="","",H67-I67)</f>
        <v/>
      </c>
      <c r="K67" s="7" t="str">
        <f aca="false">IF(A67="","",MONTH(A67))</f>
        <v/>
      </c>
      <c r="L67" s="7" t="str">
        <f aca="false">IF(A67="","",YEAR(A67))</f>
        <v/>
      </c>
      <c r="M67" s="9" t="str">
        <f aca="false">IF(B67="","",B67&amp;"|"&amp;COUNTIF(B$2:B67,B67))</f>
        <v/>
      </c>
    </row>
    <row r="68" customFormat="false" ht="15" hidden="false" customHeight="false" outlineLevel="0" collapsed="false">
      <c r="A68" s="5"/>
      <c r="B68" s="6"/>
      <c r="C68" s="6"/>
      <c r="D68" s="6"/>
      <c r="E68" s="7" t="str">
        <f aca="false">IF(D68="","",IFERROR(INDEX(Товары!$B$2:$B$200,MATCH(D68,Товары!$A$2:$A$200,0)),"нет в справочнике"))</f>
        <v/>
      </c>
      <c r="F68" s="6"/>
      <c r="G68" s="8" t="str">
        <f aca="false">IF(D68="","",IFERROR(INDEX(Товары!$C$2:$C$200,MATCH(D68,Товары!$A$2:$A$200,0)),0))</f>
        <v/>
      </c>
      <c r="H68" s="8" t="str">
        <f aca="false">IF(D68="","",F68*G68)</f>
        <v/>
      </c>
      <c r="I68" s="8" t="str">
        <f aca="false">IF(D68="","",F68*IFERROR(INDEX(Товары!$D$2:$D$200,MATCH(D68,Товары!$A$2:$A$200,0)),0))</f>
        <v/>
      </c>
      <c r="J68" s="8" t="str">
        <f aca="false">IF(D68="","",H68-I68)</f>
        <v/>
      </c>
      <c r="K68" s="7" t="str">
        <f aca="false">IF(A68="","",MONTH(A68))</f>
        <v/>
      </c>
      <c r="L68" s="7" t="str">
        <f aca="false">IF(A68="","",YEAR(A68))</f>
        <v/>
      </c>
      <c r="M68" s="9" t="str">
        <f aca="false">IF(B68="","",B68&amp;"|"&amp;COUNTIF(B$2:B68,B68))</f>
        <v/>
      </c>
    </row>
    <row r="69" customFormat="false" ht="15" hidden="false" customHeight="false" outlineLevel="0" collapsed="false">
      <c r="A69" s="5"/>
      <c r="B69" s="6"/>
      <c r="C69" s="6"/>
      <c r="D69" s="6"/>
      <c r="E69" s="7" t="str">
        <f aca="false">IF(D69="","",IFERROR(INDEX(Товары!$B$2:$B$200,MATCH(D69,Товары!$A$2:$A$200,0)),"нет в справочнике"))</f>
        <v/>
      </c>
      <c r="F69" s="6"/>
      <c r="G69" s="8" t="str">
        <f aca="false">IF(D69="","",IFERROR(INDEX(Товары!$C$2:$C$200,MATCH(D69,Товары!$A$2:$A$200,0)),0))</f>
        <v/>
      </c>
      <c r="H69" s="8" t="str">
        <f aca="false">IF(D69="","",F69*G69)</f>
        <v/>
      </c>
      <c r="I69" s="8" t="str">
        <f aca="false">IF(D69="","",F69*IFERROR(INDEX(Товары!$D$2:$D$200,MATCH(D69,Товары!$A$2:$A$200,0)),0))</f>
        <v/>
      </c>
      <c r="J69" s="8" t="str">
        <f aca="false">IF(D69="","",H69-I69)</f>
        <v/>
      </c>
      <c r="K69" s="7" t="str">
        <f aca="false">IF(A69="","",MONTH(A69))</f>
        <v/>
      </c>
      <c r="L69" s="7" t="str">
        <f aca="false">IF(A69="","",YEAR(A69))</f>
        <v/>
      </c>
      <c r="M69" s="9" t="str">
        <f aca="false">IF(B69="","",B69&amp;"|"&amp;COUNTIF(B$2:B69,B69))</f>
        <v/>
      </c>
    </row>
    <row r="70" customFormat="false" ht="15" hidden="false" customHeight="false" outlineLevel="0" collapsed="false">
      <c r="A70" s="5"/>
      <c r="B70" s="6"/>
      <c r="C70" s="6"/>
      <c r="D70" s="6"/>
      <c r="E70" s="7" t="str">
        <f aca="false">IF(D70="","",IFERROR(INDEX(Товары!$B$2:$B$200,MATCH(D70,Товары!$A$2:$A$200,0)),"нет в справочнике"))</f>
        <v/>
      </c>
      <c r="F70" s="6"/>
      <c r="G70" s="8" t="str">
        <f aca="false">IF(D70="","",IFERROR(INDEX(Товары!$C$2:$C$200,MATCH(D70,Товары!$A$2:$A$200,0)),0))</f>
        <v/>
      </c>
      <c r="H70" s="8" t="str">
        <f aca="false">IF(D70="","",F70*G70)</f>
        <v/>
      </c>
      <c r="I70" s="8" t="str">
        <f aca="false">IF(D70="","",F70*IFERROR(INDEX(Товары!$D$2:$D$200,MATCH(D70,Товары!$A$2:$A$200,0)),0))</f>
        <v/>
      </c>
      <c r="J70" s="8" t="str">
        <f aca="false">IF(D70="","",H70-I70)</f>
        <v/>
      </c>
      <c r="K70" s="7" t="str">
        <f aca="false">IF(A70="","",MONTH(A70))</f>
        <v/>
      </c>
      <c r="L70" s="7" t="str">
        <f aca="false">IF(A70="","",YEAR(A70))</f>
        <v/>
      </c>
      <c r="M70" s="9" t="str">
        <f aca="false">IF(B70="","",B70&amp;"|"&amp;COUNTIF(B$2:B70,B70))</f>
        <v/>
      </c>
    </row>
    <row r="71" customFormat="false" ht="15" hidden="false" customHeight="false" outlineLevel="0" collapsed="false">
      <c r="A71" s="5"/>
      <c r="B71" s="6"/>
      <c r="C71" s="6"/>
      <c r="D71" s="6"/>
      <c r="E71" s="7" t="str">
        <f aca="false">IF(D71="","",IFERROR(INDEX(Товары!$B$2:$B$200,MATCH(D71,Товары!$A$2:$A$200,0)),"нет в справочнике"))</f>
        <v/>
      </c>
      <c r="F71" s="6"/>
      <c r="G71" s="8" t="str">
        <f aca="false">IF(D71="","",IFERROR(INDEX(Товары!$C$2:$C$200,MATCH(D71,Товары!$A$2:$A$200,0)),0))</f>
        <v/>
      </c>
      <c r="H71" s="8" t="str">
        <f aca="false">IF(D71="","",F71*G71)</f>
        <v/>
      </c>
      <c r="I71" s="8" t="str">
        <f aca="false">IF(D71="","",F71*IFERROR(INDEX(Товары!$D$2:$D$200,MATCH(D71,Товары!$A$2:$A$200,0)),0))</f>
        <v/>
      </c>
      <c r="J71" s="8" t="str">
        <f aca="false">IF(D71="","",H71-I71)</f>
        <v/>
      </c>
      <c r="K71" s="7" t="str">
        <f aca="false">IF(A71="","",MONTH(A71))</f>
        <v/>
      </c>
      <c r="L71" s="7" t="str">
        <f aca="false">IF(A71="","",YEAR(A71))</f>
        <v/>
      </c>
      <c r="M71" s="9" t="str">
        <f aca="false">IF(B71="","",B71&amp;"|"&amp;COUNTIF(B$2:B71,B71))</f>
        <v/>
      </c>
    </row>
    <row r="72" customFormat="false" ht="15" hidden="false" customHeight="false" outlineLevel="0" collapsed="false">
      <c r="A72" s="5"/>
      <c r="B72" s="6"/>
      <c r="C72" s="6"/>
      <c r="D72" s="6"/>
      <c r="E72" s="7" t="str">
        <f aca="false">IF(D72="","",IFERROR(INDEX(Товары!$B$2:$B$200,MATCH(D72,Товары!$A$2:$A$200,0)),"нет в справочнике"))</f>
        <v/>
      </c>
      <c r="F72" s="6"/>
      <c r="G72" s="8" t="str">
        <f aca="false">IF(D72="","",IFERROR(INDEX(Товары!$C$2:$C$200,MATCH(D72,Товары!$A$2:$A$200,0)),0))</f>
        <v/>
      </c>
      <c r="H72" s="8" t="str">
        <f aca="false">IF(D72="","",F72*G72)</f>
        <v/>
      </c>
      <c r="I72" s="8" t="str">
        <f aca="false">IF(D72="","",F72*IFERROR(INDEX(Товары!$D$2:$D$200,MATCH(D72,Товары!$A$2:$A$200,0)),0))</f>
        <v/>
      </c>
      <c r="J72" s="8" t="str">
        <f aca="false">IF(D72="","",H72-I72)</f>
        <v/>
      </c>
      <c r="K72" s="7" t="str">
        <f aca="false">IF(A72="","",MONTH(A72))</f>
        <v/>
      </c>
      <c r="L72" s="7" t="str">
        <f aca="false">IF(A72="","",YEAR(A72))</f>
        <v/>
      </c>
      <c r="M72" s="9" t="str">
        <f aca="false">IF(B72="","",B72&amp;"|"&amp;COUNTIF(B$2:B72,B72))</f>
        <v/>
      </c>
    </row>
    <row r="73" customFormat="false" ht="15" hidden="false" customHeight="false" outlineLevel="0" collapsed="false">
      <c r="A73" s="5"/>
      <c r="B73" s="6"/>
      <c r="C73" s="6"/>
      <c r="D73" s="6"/>
      <c r="E73" s="7" t="str">
        <f aca="false">IF(D73="","",IFERROR(INDEX(Товары!$B$2:$B$200,MATCH(D73,Товары!$A$2:$A$200,0)),"нет в справочнике"))</f>
        <v/>
      </c>
      <c r="F73" s="6"/>
      <c r="G73" s="8" t="str">
        <f aca="false">IF(D73="","",IFERROR(INDEX(Товары!$C$2:$C$200,MATCH(D73,Товары!$A$2:$A$200,0)),0))</f>
        <v/>
      </c>
      <c r="H73" s="8" t="str">
        <f aca="false">IF(D73="","",F73*G73)</f>
        <v/>
      </c>
      <c r="I73" s="8" t="str">
        <f aca="false">IF(D73="","",F73*IFERROR(INDEX(Товары!$D$2:$D$200,MATCH(D73,Товары!$A$2:$A$200,0)),0))</f>
        <v/>
      </c>
      <c r="J73" s="8" t="str">
        <f aca="false">IF(D73="","",H73-I73)</f>
        <v/>
      </c>
      <c r="K73" s="7" t="str">
        <f aca="false">IF(A73="","",MONTH(A73))</f>
        <v/>
      </c>
      <c r="L73" s="7" t="str">
        <f aca="false">IF(A73="","",YEAR(A73))</f>
        <v/>
      </c>
      <c r="M73" s="9" t="str">
        <f aca="false">IF(B73="","",B73&amp;"|"&amp;COUNTIF(B$2:B73,B73))</f>
        <v/>
      </c>
    </row>
    <row r="74" customFormat="false" ht="15" hidden="false" customHeight="false" outlineLevel="0" collapsed="false">
      <c r="A74" s="5"/>
      <c r="B74" s="6"/>
      <c r="C74" s="6"/>
      <c r="D74" s="6"/>
      <c r="E74" s="7" t="str">
        <f aca="false">IF(D74="","",IFERROR(INDEX(Товары!$B$2:$B$200,MATCH(D74,Товары!$A$2:$A$200,0)),"нет в справочнике"))</f>
        <v/>
      </c>
      <c r="F74" s="6"/>
      <c r="G74" s="8" t="str">
        <f aca="false">IF(D74="","",IFERROR(INDEX(Товары!$C$2:$C$200,MATCH(D74,Товары!$A$2:$A$200,0)),0))</f>
        <v/>
      </c>
      <c r="H74" s="8" t="str">
        <f aca="false">IF(D74="","",F74*G74)</f>
        <v/>
      </c>
      <c r="I74" s="8" t="str">
        <f aca="false">IF(D74="","",F74*IFERROR(INDEX(Товары!$D$2:$D$200,MATCH(D74,Товары!$A$2:$A$200,0)),0))</f>
        <v/>
      </c>
      <c r="J74" s="8" t="str">
        <f aca="false">IF(D74="","",H74-I74)</f>
        <v/>
      </c>
      <c r="K74" s="7" t="str">
        <f aca="false">IF(A74="","",MONTH(A74))</f>
        <v/>
      </c>
      <c r="L74" s="7" t="str">
        <f aca="false">IF(A74="","",YEAR(A74))</f>
        <v/>
      </c>
      <c r="M74" s="9" t="str">
        <f aca="false">IF(B74="","",B74&amp;"|"&amp;COUNTIF(B$2:B74,B74))</f>
        <v/>
      </c>
    </row>
    <row r="75" customFormat="false" ht="15" hidden="false" customHeight="false" outlineLevel="0" collapsed="false">
      <c r="A75" s="5"/>
      <c r="B75" s="6"/>
      <c r="C75" s="6"/>
      <c r="D75" s="6"/>
      <c r="E75" s="7" t="str">
        <f aca="false">IF(D75="","",IFERROR(INDEX(Товары!$B$2:$B$200,MATCH(D75,Товары!$A$2:$A$200,0)),"нет в справочнике"))</f>
        <v/>
      </c>
      <c r="F75" s="6"/>
      <c r="G75" s="8" t="str">
        <f aca="false">IF(D75="","",IFERROR(INDEX(Товары!$C$2:$C$200,MATCH(D75,Товары!$A$2:$A$200,0)),0))</f>
        <v/>
      </c>
      <c r="H75" s="8" t="str">
        <f aca="false">IF(D75="","",F75*G75)</f>
        <v/>
      </c>
      <c r="I75" s="8" t="str">
        <f aca="false">IF(D75="","",F75*IFERROR(INDEX(Товары!$D$2:$D$200,MATCH(D75,Товары!$A$2:$A$200,0)),0))</f>
        <v/>
      </c>
      <c r="J75" s="8" t="str">
        <f aca="false">IF(D75="","",H75-I75)</f>
        <v/>
      </c>
      <c r="K75" s="7" t="str">
        <f aca="false">IF(A75="","",MONTH(A75))</f>
        <v/>
      </c>
      <c r="L75" s="7" t="str">
        <f aca="false">IF(A75="","",YEAR(A75))</f>
        <v/>
      </c>
      <c r="M75" s="9" t="str">
        <f aca="false">IF(B75="","",B75&amp;"|"&amp;COUNTIF(B$2:B75,B75))</f>
        <v/>
      </c>
    </row>
    <row r="76" customFormat="false" ht="15" hidden="false" customHeight="false" outlineLevel="0" collapsed="false">
      <c r="A76" s="5"/>
      <c r="B76" s="6"/>
      <c r="C76" s="6"/>
      <c r="D76" s="6"/>
      <c r="E76" s="7" t="str">
        <f aca="false">IF(D76="","",IFERROR(INDEX(Товары!$B$2:$B$200,MATCH(D76,Товары!$A$2:$A$200,0)),"нет в справочнике"))</f>
        <v/>
      </c>
      <c r="F76" s="6"/>
      <c r="G76" s="8" t="str">
        <f aca="false">IF(D76="","",IFERROR(INDEX(Товары!$C$2:$C$200,MATCH(D76,Товары!$A$2:$A$200,0)),0))</f>
        <v/>
      </c>
      <c r="H76" s="8" t="str">
        <f aca="false">IF(D76="","",F76*G76)</f>
        <v/>
      </c>
      <c r="I76" s="8" t="str">
        <f aca="false">IF(D76="","",F76*IFERROR(INDEX(Товары!$D$2:$D$200,MATCH(D76,Товары!$A$2:$A$200,0)),0))</f>
        <v/>
      </c>
      <c r="J76" s="8" t="str">
        <f aca="false">IF(D76="","",H76-I76)</f>
        <v/>
      </c>
      <c r="K76" s="7" t="str">
        <f aca="false">IF(A76="","",MONTH(A76))</f>
        <v/>
      </c>
      <c r="L76" s="7" t="str">
        <f aca="false">IF(A76="","",YEAR(A76))</f>
        <v/>
      </c>
      <c r="M76" s="9" t="str">
        <f aca="false">IF(B76="","",B76&amp;"|"&amp;COUNTIF(B$2:B76,B76))</f>
        <v/>
      </c>
    </row>
    <row r="77" customFormat="false" ht="15" hidden="false" customHeight="false" outlineLevel="0" collapsed="false">
      <c r="A77" s="5"/>
      <c r="B77" s="6"/>
      <c r="C77" s="6"/>
      <c r="D77" s="6"/>
      <c r="E77" s="7" t="str">
        <f aca="false">IF(D77="","",IFERROR(INDEX(Товары!$B$2:$B$200,MATCH(D77,Товары!$A$2:$A$200,0)),"нет в справочнике"))</f>
        <v/>
      </c>
      <c r="F77" s="6"/>
      <c r="G77" s="8" t="str">
        <f aca="false">IF(D77="","",IFERROR(INDEX(Товары!$C$2:$C$200,MATCH(D77,Товары!$A$2:$A$200,0)),0))</f>
        <v/>
      </c>
      <c r="H77" s="8" t="str">
        <f aca="false">IF(D77="","",F77*G77)</f>
        <v/>
      </c>
      <c r="I77" s="8" t="str">
        <f aca="false">IF(D77="","",F77*IFERROR(INDEX(Товары!$D$2:$D$200,MATCH(D77,Товары!$A$2:$A$200,0)),0))</f>
        <v/>
      </c>
      <c r="J77" s="8" t="str">
        <f aca="false">IF(D77="","",H77-I77)</f>
        <v/>
      </c>
      <c r="K77" s="7" t="str">
        <f aca="false">IF(A77="","",MONTH(A77))</f>
        <v/>
      </c>
      <c r="L77" s="7" t="str">
        <f aca="false">IF(A77="","",YEAR(A77))</f>
        <v/>
      </c>
      <c r="M77" s="9" t="str">
        <f aca="false">IF(B77="","",B77&amp;"|"&amp;COUNTIF(B$2:B77,B77))</f>
        <v/>
      </c>
    </row>
    <row r="78" customFormat="false" ht="15" hidden="false" customHeight="false" outlineLevel="0" collapsed="false">
      <c r="A78" s="5"/>
      <c r="B78" s="6"/>
      <c r="C78" s="6"/>
      <c r="D78" s="6"/>
      <c r="E78" s="7" t="str">
        <f aca="false">IF(D78="","",IFERROR(INDEX(Товары!$B$2:$B$200,MATCH(D78,Товары!$A$2:$A$200,0)),"нет в справочнике"))</f>
        <v/>
      </c>
      <c r="F78" s="6"/>
      <c r="G78" s="8" t="str">
        <f aca="false">IF(D78="","",IFERROR(INDEX(Товары!$C$2:$C$200,MATCH(D78,Товары!$A$2:$A$200,0)),0))</f>
        <v/>
      </c>
      <c r="H78" s="8" t="str">
        <f aca="false">IF(D78="","",F78*G78)</f>
        <v/>
      </c>
      <c r="I78" s="8" t="str">
        <f aca="false">IF(D78="","",F78*IFERROR(INDEX(Товары!$D$2:$D$200,MATCH(D78,Товары!$A$2:$A$200,0)),0))</f>
        <v/>
      </c>
      <c r="J78" s="8" t="str">
        <f aca="false">IF(D78="","",H78-I78)</f>
        <v/>
      </c>
      <c r="K78" s="7" t="str">
        <f aca="false">IF(A78="","",MONTH(A78))</f>
        <v/>
      </c>
      <c r="L78" s="7" t="str">
        <f aca="false">IF(A78="","",YEAR(A78))</f>
        <v/>
      </c>
      <c r="M78" s="9" t="str">
        <f aca="false">IF(B78="","",B78&amp;"|"&amp;COUNTIF(B$2:B78,B78))</f>
        <v/>
      </c>
    </row>
    <row r="79" customFormat="false" ht="15" hidden="false" customHeight="false" outlineLevel="0" collapsed="false">
      <c r="A79" s="5"/>
      <c r="B79" s="6"/>
      <c r="C79" s="6"/>
      <c r="D79" s="6"/>
      <c r="E79" s="7" t="str">
        <f aca="false">IF(D79="","",IFERROR(INDEX(Товары!$B$2:$B$200,MATCH(D79,Товары!$A$2:$A$200,0)),"нет в справочнике"))</f>
        <v/>
      </c>
      <c r="F79" s="6"/>
      <c r="G79" s="8" t="str">
        <f aca="false">IF(D79="","",IFERROR(INDEX(Товары!$C$2:$C$200,MATCH(D79,Товары!$A$2:$A$200,0)),0))</f>
        <v/>
      </c>
      <c r="H79" s="8" t="str">
        <f aca="false">IF(D79="","",F79*G79)</f>
        <v/>
      </c>
      <c r="I79" s="8" t="str">
        <f aca="false">IF(D79="","",F79*IFERROR(INDEX(Товары!$D$2:$D$200,MATCH(D79,Товары!$A$2:$A$200,0)),0))</f>
        <v/>
      </c>
      <c r="J79" s="8" t="str">
        <f aca="false">IF(D79="","",H79-I79)</f>
        <v/>
      </c>
      <c r="K79" s="7" t="str">
        <f aca="false">IF(A79="","",MONTH(A79))</f>
        <v/>
      </c>
      <c r="L79" s="7" t="str">
        <f aca="false">IF(A79="","",YEAR(A79))</f>
        <v/>
      </c>
      <c r="M79" s="9" t="str">
        <f aca="false">IF(B79="","",B79&amp;"|"&amp;COUNTIF(B$2:B79,B79))</f>
        <v/>
      </c>
    </row>
    <row r="80" customFormat="false" ht="15" hidden="false" customHeight="false" outlineLevel="0" collapsed="false">
      <c r="A80" s="5"/>
      <c r="B80" s="6"/>
      <c r="C80" s="6"/>
      <c r="D80" s="6"/>
      <c r="E80" s="7" t="str">
        <f aca="false">IF(D80="","",IFERROR(INDEX(Товары!$B$2:$B$200,MATCH(D80,Товары!$A$2:$A$200,0)),"нет в справочнике"))</f>
        <v/>
      </c>
      <c r="F80" s="6"/>
      <c r="G80" s="8" t="str">
        <f aca="false">IF(D80="","",IFERROR(INDEX(Товары!$C$2:$C$200,MATCH(D80,Товары!$A$2:$A$200,0)),0))</f>
        <v/>
      </c>
      <c r="H80" s="8" t="str">
        <f aca="false">IF(D80="","",F80*G80)</f>
        <v/>
      </c>
      <c r="I80" s="8" t="str">
        <f aca="false">IF(D80="","",F80*IFERROR(INDEX(Товары!$D$2:$D$200,MATCH(D80,Товары!$A$2:$A$200,0)),0))</f>
        <v/>
      </c>
      <c r="J80" s="8" t="str">
        <f aca="false">IF(D80="","",H80-I80)</f>
        <v/>
      </c>
      <c r="K80" s="7" t="str">
        <f aca="false">IF(A80="","",MONTH(A80))</f>
        <v/>
      </c>
      <c r="L80" s="7" t="str">
        <f aca="false">IF(A80="","",YEAR(A80))</f>
        <v/>
      </c>
      <c r="M80" s="9" t="str">
        <f aca="false">IF(B80="","",B80&amp;"|"&amp;COUNTIF(B$2:B80,B80))</f>
        <v/>
      </c>
    </row>
    <row r="81" customFormat="false" ht="15" hidden="false" customHeight="false" outlineLevel="0" collapsed="false">
      <c r="A81" s="5"/>
      <c r="B81" s="6"/>
      <c r="C81" s="6"/>
      <c r="D81" s="6"/>
      <c r="E81" s="7" t="str">
        <f aca="false">IF(D81="","",IFERROR(INDEX(Товары!$B$2:$B$200,MATCH(D81,Товары!$A$2:$A$200,0)),"нет в справочнике"))</f>
        <v/>
      </c>
      <c r="F81" s="6"/>
      <c r="G81" s="8" t="str">
        <f aca="false">IF(D81="","",IFERROR(INDEX(Товары!$C$2:$C$200,MATCH(D81,Товары!$A$2:$A$200,0)),0))</f>
        <v/>
      </c>
      <c r="H81" s="8" t="str">
        <f aca="false">IF(D81="","",F81*G81)</f>
        <v/>
      </c>
      <c r="I81" s="8" t="str">
        <f aca="false">IF(D81="","",F81*IFERROR(INDEX(Товары!$D$2:$D$200,MATCH(D81,Товары!$A$2:$A$200,0)),0))</f>
        <v/>
      </c>
      <c r="J81" s="8" t="str">
        <f aca="false">IF(D81="","",H81-I81)</f>
        <v/>
      </c>
      <c r="K81" s="7" t="str">
        <f aca="false">IF(A81="","",MONTH(A81))</f>
        <v/>
      </c>
      <c r="L81" s="7" t="str">
        <f aca="false">IF(A81="","",YEAR(A81))</f>
        <v/>
      </c>
      <c r="M81" s="9" t="str">
        <f aca="false">IF(B81="","",B81&amp;"|"&amp;COUNTIF(B$2:B81,B81))</f>
        <v/>
      </c>
    </row>
    <row r="82" customFormat="false" ht="15" hidden="false" customHeight="false" outlineLevel="0" collapsed="false">
      <c r="A82" s="5"/>
      <c r="B82" s="6"/>
      <c r="C82" s="6"/>
      <c r="D82" s="6"/>
      <c r="E82" s="7" t="str">
        <f aca="false">IF(D82="","",IFERROR(INDEX(Товары!$B$2:$B$200,MATCH(D82,Товары!$A$2:$A$200,0)),"нет в справочнике"))</f>
        <v/>
      </c>
      <c r="F82" s="6"/>
      <c r="G82" s="8" t="str">
        <f aca="false">IF(D82="","",IFERROR(INDEX(Товары!$C$2:$C$200,MATCH(D82,Товары!$A$2:$A$200,0)),0))</f>
        <v/>
      </c>
      <c r="H82" s="8" t="str">
        <f aca="false">IF(D82="","",F82*G82)</f>
        <v/>
      </c>
      <c r="I82" s="8" t="str">
        <f aca="false">IF(D82="","",F82*IFERROR(INDEX(Товары!$D$2:$D$200,MATCH(D82,Товары!$A$2:$A$200,0)),0))</f>
        <v/>
      </c>
      <c r="J82" s="8" t="str">
        <f aca="false">IF(D82="","",H82-I82)</f>
        <v/>
      </c>
      <c r="K82" s="7" t="str">
        <f aca="false">IF(A82="","",MONTH(A82))</f>
        <v/>
      </c>
      <c r="L82" s="7" t="str">
        <f aca="false">IF(A82="","",YEAR(A82))</f>
        <v/>
      </c>
      <c r="M82" s="9" t="str">
        <f aca="false">IF(B82="","",B82&amp;"|"&amp;COUNTIF(B$2:B82,B82))</f>
        <v/>
      </c>
    </row>
    <row r="83" customFormat="false" ht="15" hidden="false" customHeight="false" outlineLevel="0" collapsed="false">
      <c r="A83" s="5"/>
      <c r="B83" s="6"/>
      <c r="C83" s="6"/>
      <c r="D83" s="6"/>
      <c r="E83" s="7" t="str">
        <f aca="false">IF(D83="","",IFERROR(INDEX(Товары!$B$2:$B$200,MATCH(D83,Товары!$A$2:$A$200,0)),"нет в справочнике"))</f>
        <v/>
      </c>
      <c r="F83" s="6"/>
      <c r="G83" s="8" t="str">
        <f aca="false">IF(D83="","",IFERROR(INDEX(Товары!$C$2:$C$200,MATCH(D83,Товары!$A$2:$A$200,0)),0))</f>
        <v/>
      </c>
      <c r="H83" s="8" t="str">
        <f aca="false">IF(D83="","",F83*G83)</f>
        <v/>
      </c>
      <c r="I83" s="8" t="str">
        <f aca="false">IF(D83="","",F83*IFERROR(INDEX(Товары!$D$2:$D$200,MATCH(D83,Товары!$A$2:$A$200,0)),0))</f>
        <v/>
      </c>
      <c r="J83" s="8" t="str">
        <f aca="false">IF(D83="","",H83-I83)</f>
        <v/>
      </c>
      <c r="K83" s="7" t="str">
        <f aca="false">IF(A83="","",MONTH(A83))</f>
        <v/>
      </c>
      <c r="L83" s="7" t="str">
        <f aca="false">IF(A83="","",YEAR(A83))</f>
        <v/>
      </c>
      <c r="M83" s="9" t="str">
        <f aca="false">IF(B83="","",B83&amp;"|"&amp;COUNTIF(B$2:B83,B83))</f>
        <v/>
      </c>
    </row>
    <row r="84" customFormat="false" ht="15" hidden="false" customHeight="false" outlineLevel="0" collapsed="false">
      <c r="A84" s="5"/>
      <c r="B84" s="6"/>
      <c r="C84" s="6"/>
      <c r="D84" s="6"/>
      <c r="E84" s="7" t="str">
        <f aca="false">IF(D84="","",IFERROR(INDEX(Товары!$B$2:$B$200,MATCH(D84,Товары!$A$2:$A$200,0)),"нет в справочнике"))</f>
        <v/>
      </c>
      <c r="F84" s="6"/>
      <c r="G84" s="8" t="str">
        <f aca="false">IF(D84="","",IFERROR(INDEX(Товары!$C$2:$C$200,MATCH(D84,Товары!$A$2:$A$200,0)),0))</f>
        <v/>
      </c>
      <c r="H84" s="8" t="str">
        <f aca="false">IF(D84="","",F84*G84)</f>
        <v/>
      </c>
      <c r="I84" s="8" t="str">
        <f aca="false">IF(D84="","",F84*IFERROR(INDEX(Товары!$D$2:$D$200,MATCH(D84,Товары!$A$2:$A$200,0)),0))</f>
        <v/>
      </c>
      <c r="J84" s="8" t="str">
        <f aca="false">IF(D84="","",H84-I84)</f>
        <v/>
      </c>
      <c r="K84" s="7" t="str">
        <f aca="false">IF(A84="","",MONTH(A84))</f>
        <v/>
      </c>
      <c r="L84" s="7" t="str">
        <f aca="false">IF(A84="","",YEAR(A84))</f>
        <v/>
      </c>
      <c r="M84" s="9" t="str">
        <f aca="false">IF(B84="","",B84&amp;"|"&amp;COUNTIF(B$2:B84,B84))</f>
        <v/>
      </c>
    </row>
    <row r="85" customFormat="false" ht="15" hidden="false" customHeight="false" outlineLevel="0" collapsed="false">
      <c r="A85" s="5"/>
      <c r="B85" s="6"/>
      <c r="C85" s="6"/>
      <c r="D85" s="6"/>
      <c r="E85" s="7" t="str">
        <f aca="false">IF(D85="","",IFERROR(INDEX(Товары!$B$2:$B$200,MATCH(D85,Товары!$A$2:$A$200,0)),"нет в справочнике"))</f>
        <v/>
      </c>
      <c r="F85" s="6"/>
      <c r="G85" s="8" t="str">
        <f aca="false">IF(D85="","",IFERROR(INDEX(Товары!$C$2:$C$200,MATCH(D85,Товары!$A$2:$A$200,0)),0))</f>
        <v/>
      </c>
      <c r="H85" s="8" t="str">
        <f aca="false">IF(D85="","",F85*G85)</f>
        <v/>
      </c>
      <c r="I85" s="8" t="str">
        <f aca="false">IF(D85="","",F85*IFERROR(INDEX(Товары!$D$2:$D$200,MATCH(D85,Товары!$A$2:$A$200,0)),0))</f>
        <v/>
      </c>
      <c r="J85" s="8" t="str">
        <f aca="false">IF(D85="","",H85-I85)</f>
        <v/>
      </c>
      <c r="K85" s="7" t="str">
        <f aca="false">IF(A85="","",MONTH(A85))</f>
        <v/>
      </c>
      <c r="L85" s="7" t="str">
        <f aca="false">IF(A85="","",YEAR(A85))</f>
        <v/>
      </c>
      <c r="M85" s="9" t="str">
        <f aca="false">IF(B85="","",B85&amp;"|"&amp;COUNTIF(B$2:B85,B85))</f>
        <v/>
      </c>
    </row>
    <row r="86" customFormat="false" ht="15" hidden="false" customHeight="false" outlineLevel="0" collapsed="false">
      <c r="A86" s="5"/>
      <c r="B86" s="6"/>
      <c r="C86" s="6"/>
      <c r="D86" s="6"/>
      <c r="E86" s="7" t="str">
        <f aca="false">IF(D86="","",IFERROR(INDEX(Товары!$B$2:$B$200,MATCH(D86,Товары!$A$2:$A$200,0)),"нет в справочнике"))</f>
        <v/>
      </c>
      <c r="F86" s="6"/>
      <c r="G86" s="8" t="str">
        <f aca="false">IF(D86="","",IFERROR(INDEX(Товары!$C$2:$C$200,MATCH(D86,Товары!$A$2:$A$200,0)),0))</f>
        <v/>
      </c>
      <c r="H86" s="8" t="str">
        <f aca="false">IF(D86="","",F86*G86)</f>
        <v/>
      </c>
      <c r="I86" s="8" t="str">
        <f aca="false">IF(D86="","",F86*IFERROR(INDEX(Товары!$D$2:$D$200,MATCH(D86,Товары!$A$2:$A$200,0)),0))</f>
        <v/>
      </c>
      <c r="J86" s="8" t="str">
        <f aca="false">IF(D86="","",H86-I86)</f>
        <v/>
      </c>
      <c r="K86" s="7" t="str">
        <f aca="false">IF(A86="","",MONTH(A86))</f>
        <v/>
      </c>
      <c r="L86" s="7" t="str">
        <f aca="false">IF(A86="","",YEAR(A86))</f>
        <v/>
      </c>
      <c r="M86" s="9" t="str">
        <f aca="false">IF(B86="","",B86&amp;"|"&amp;COUNTIF(B$2:B86,B86))</f>
        <v/>
      </c>
    </row>
    <row r="87" customFormat="false" ht="15" hidden="false" customHeight="false" outlineLevel="0" collapsed="false">
      <c r="A87" s="5"/>
      <c r="B87" s="6"/>
      <c r="C87" s="6"/>
      <c r="D87" s="6"/>
      <c r="E87" s="7" t="str">
        <f aca="false">IF(D87="","",IFERROR(INDEX(Товары!$B$2:$B$200,MATCH(D87,Товары!$A$2:$A$200,0)),"нет в справочнике"))</f>
        <v/>
      </c>
      <c r="F87" s="6"/>
      <c r="G87" s="8" t="str">
        <f aca="false">IF(D87="","",IFERROR(INDEX(Товары!$C$2:$C$200,MATCH(D87,Товары!$A$2:$A$200,0)),0))</f>
        <v/>
      </c>
      <c r="H87" s="8" t="str">
        <f aca="false">IF(D87="","",F87*G87)</f>
        <v/>
      </c>
      <c r="I87" s="8" t="str">
        <f aca="false">IF(D87="","",F87*IFERROR(INDEX(Товары!$D$2:$D$200,MATCH(D87,Товары!$A$2:$A$200,0)),0))</f>
        <v/>
      </c>
      <c r="J87" s="8" t="str">
        <f aca="false">IF(D87="","",H87-I87)</f>
        <v/>
      </c>
      <c r="K87" s="7" t="str">
        <f aca="false">IF(A87="","",MONTH(A87))</f>
        <v/>
      </c>
      <c r="L87" s="7" t="str">
        <f aca="false">IF(A87="","",YEAR(A87))</f>
        <v/>
      </c>
      <c r="M87" s="9" t="str">
        <f aca="false">IF(B87="","",B87&amp;"|"&amp;COUNTIF(B$2:B87,B87))</f>
        <v/>
      </c>
    </row>
    <row r="88" customFormat="false" ht="15" hidden="false" customHeight="false" outlineLevel="0" collapsed="false">
      <c r="A88" s="5"/>
      <c r="B88" s="6"/>
      <c r="C88" s="6"/>
      <c r="D88" s="6"/>
      <c r="E88" s="7" t="str">
        <f aca="false">IF(D88="","",IFERROR(INDEX(Товары!$B$2:$B$200,MATCH(D88,Товары!$A$2:$A$200,0)),"нет в справочнике"))</f>
        <v/>
      </c>
      <c r="F88" s="6"/>
      <c r="G88" s="8" t="str">
        <f aca="false">IF(D88="","",IFERROR(INDEX(Товары!$C$2:$C$200,MATCH(D88,Товары!$A$2:$A$200,0)),0))</f>
        <v/>
      </c>
      <c r="H88" s="8" t="str">
        <f aca="false">IF(D88="","",F88*G88)</f>
        <v/>
      </c>
      <c r="I88" s="8" t="str">
        <f aca="false">IF(D88="","",F88*IFERROR(INDEX(Товары!$D$2:$D$200,MATCH(D88,Товары!$A$2:$A$200,0)),0))</f>
        <v/>
      </c>
      <c r="J88" s="8" t="str">
        <f aca="false">IF(D88="","",H88-I88)</f>
        <v/>
      </c>
      <c r="K88" s="7" t="str">
        <f aca="false">IF(A88="","",MONTH(A88))</f>
        <v/>
      </c>
      <c r="L88" s="7" t="str">
        <f aca="false">IF(A88="","",YEAR(A88))</f>
        <v/>
      </c>
      <c r="M88" s="9" t="str">
        <f aca="false">IF(B88="","",B88&amp;"|"&amp;COUNTIF(B$2:B88,B88))</f>
        <v/>
      </c>
    </row>
    <row r="89" customFormat="false" ht="15" hidden="false" customHeight="false" outlineLevel="0" collapsed="false">
      <c r="A89" s="5"/>
      <c r="B89" s="6"/>
      <c r="C89" s="6"/>
      <c r="D89" s="6"/>
      <c r="E89" s="7" t="str">
        <f aca="false">IF(D89="","",IFERROR(INDEX(Товары!$B$2:$B$200,MATCH(D89,Товары!$A$2:$A$200,0)),"нет в справочнике"))</f>
        <v/>
      </c>
      <c r="F89" s="6"/>
      <c r="G89" s="8" t="str">
        <f aca="false">IF(D89="","",IFERROR(INDEX(Товары!$C$2:$C$200,MATCH(D89,Товары!$A$2:$A$200,0)),0))</f>
        <v/>
      </c>
      <c r="H89" s="8" t="str">
        <f aca="false">IF(D89="","",F89*G89)</f>
        <v/>
      </c>
      <c r="I89" s="8" t="str">
        <f aca="false">IF(D89="","",F89*IFERROR(INDEX(Товары!$D$2:$D$200,MATCH(D89,Товары!$A$2:$A$200,0)),0))</f>
        <v/>
      </c>
      <c r="J89" s="8" t="str">
        <f aca="false">IF(D89="","",H89-I89)</f>
        <v/>
      </c>
      <c r="K89" s="7" t="str">
        <f aca="false">IF(A89="","",MONTH(A89))</f>
        <v/>
      </c>
      <c r="L89" s="7" t="str">
        <f aca="false">IF(A89="","",YEAR(A89))</f>
        <v/>
      </c>
      <c r="M89" s="9" t="str">
        <f aca="false">IF(B89="","",B89&amp;"|"&amp;COUNTIF(B$2:B89,B89))</f>
        <v/>
      </c>
    </row>
    <row r="90" customFormat="false" ht="15" hidden="false" customHeight="false" outlineLevel="0" collapsed="false">
      <c r="A90" s="5"/>
      <c r="B90" s="6"/>
      <c r="C90" s="6"/>
      <c r="D90" s="6"/>
      <c r="E90" s="7" t="str">
        <f aca="false">IF(D90="","",IFERROR(INDEX(Товары!$B$2:$B$200,MATCH(D90,Товары!$A$2:$A$200,0)),"нет в справочнике"))</f>
        <v/>
      </c>
      <c r="F90" s="6"/>
      <c r="G90" s="8" t="str">
        <f aca="false">IF(D90="","",IFERROR(INDEX(Товары!$C$2:$C$200,MATCH(D90,Товары!$A$2:$A$200,0)),0))</f>
        <v/>
      </c>
      <c r="H90" s="8" t="str">
        <f aca="false">IF(D90="","",F90*G90)</f>
        <v/>
      </c>
      <c r="I90" s="8" t="str">
        <f aca="false">IF(D90="","",F90*IFERROR(INDEX(Товары!$D$2:$D$200,MATCH(D90,Товары!$A$2:$A$200,0)),0))</f>
        <v/>
      </c>
      <c r="J90" s="8" t="str">
        <f aca="false">IF(D90="","",H90-I90)</f>
        <v/>
      </c>
      <c r="K90" s="7" t="str">
        <f aca="false">IF(A90="","",MONTH(A90))</f>
        <v/>
      </c>
      <c r="L90" s="7" t="str">
        <f aca="false">IF(A90="","",YEAR(A90))</f>
        <v/>
      </c>
      <c r="M90" s="9" t="str">
        <f aca="false">IF(B90="","",B90&amp;"|"&amp;COUNTIF(B$2:B90,B90))</f>
        <v/>
      </c>
    </row>
    <row r="91" customFormat="false" ht="15" hidden="false" customHeight="false" outlineLevel="0" collapsed="false">
      <c r="A91" s="5"/>
      <c r="B91" s="6"/>
      <c r="C91" s="6"/>
      <c r="D91" s="6"/>
      <c r="E91" s="7" t="str">
        <f aca="false">IF(D91="","",IFERROR(INDEX(Товары!$B$2:$B$200,MATCH(D91,Товары!$A$2:$A$200,0)),"нет в справочнике"))</f>
        <v/>
      </c>
      <c r="F91" s="6"/>
      <c r="G91" s="8" t="str">
        <f aca="false">IF(D91="","",IFERROR(INDEX(Товары!$C$2:$C$200,MATCH(D91,Товары!$A$2:$A$200,0)),0))</f>
        <v/>
      </c>
      <c r="H91" s="8" t="str">
        <f aca="false">IF(D91="","",F91*G91)</f>
        <v/>
      </c>
      <c r="I91" s="8" t="str">
        <f aca="false">IF(D91="","",F91*IFERROR(INDEX(Товары!$D$2:$D$200,MATCH(D91,Товары!$A$2:$A$200,0)),0))</f>
        <v/>
      </c>
      <c r="J91" s="8" t="str">
        <f aca="false">IF(D91="","",H91-I91)</f>
        <v/>
      </c>
      <c r="K91" s="7" t="str">
        <f aca="false">IF(A91="","",MONTH(A91))</f>
        <v/>
      </c>
      <c r="L91" s="7" t="str">
        <f aca="false">IF(A91="","",YEAR(A91))</f>
        <v/>
      </c>
      <c r="M91" s="9" t="str">
        <f aca="false">IF(B91="","",B91&amp;"|"&amp;COUNTIF(B$2:B91,B91))</f>
        <v/>
      </c>
    </row>
    <row r="92" customFormat="false" ht="15" hidden="false" customHeight="false" outlineLevel="0" collapsed="false">
      <c r="A92" s="5"/>
      <c r="B92" s="6"/>
      <c r="C92" s="6"/>
      <c r="D92" s="6"/>
      <c r="E92" s="7" t="str">
        <f aca="false">IF(D92="","",IFERROR(INDEX(Товары!$B$2:$B$200,MATCH(D92,Товары!$A$2:$A$200,0)),"нет в справочнике"))</f>
        <v/>
      </c>
      <c r="F92" s="6"/>
      <c r="G92" s="8" t="str">
        <f aca="false">IF(D92="","",IFERROR(INDEX(Товары!$C$2:$C$200,MATCH(D92,Товары!$A$2:$A$200,0)),0))</f>
        <v/>
      </c>
      <c r="H92" s="8" t="str">
        <f aca="false">IF(D92="","",F92*G92)</f>
        <v/>
      </c>
      <c r="I92" s="8" t="str">
        <f aca="false">IF(D92="","",F92*IFERROR(INDEX(Товары!$D$2:$D$200,MATCH(D92,Товары!$A$2:$A$200,0)),0))</f>
        <v/>
      </c>
      <c r="J92" s="8" t="str">
        <f aca="false">IF(D92="","",H92-I92)</f>
        <v/>
      </c>
      <c r="K92" s="7" t="str">
        <f aca="false">IF(A92="","",MONTH(A92))</f>
        <v/>
      </c>
      <c r="L92" s="7" t="str">
        <f aca="false">IF(A92="","",YEAR(A92))</f>
        <v/>
      </c>
      <c r="M92" s="9" t="str">
        <f aca="false">IF(B92="","",B92&amp;"|"&amp;COUNTIF(B$2:B92,B92))</f>
        <v/>
      </c>
    </row>
    <row r="93" customFormat="false" ht="15" hidden="false" customHeight="false" outlineLevel="0" collapsed="false">
      <c r="A93" s="5"/>
      <c r="B93" s="6"/>
      <c r="C93" s="6"/>
      <c r="D93" s="6"/>
      <c r="E93" s="7" t="str">
        <f aca="false">IF(D93="","",IFERROR(INDEX(Товары!$B$2:$B$200,MATCH(D93,Товары!$A$2:$A$200,0)),"нет в справочнике"))</f>
        <v/>
      </c>
      <c r="F93" s="6"/>
      <c r="G93" s="8" t="str">
        <f aca="false">IF(D93="","",IFERROR(INDEX(Товары!$C$2:$C$200,MATCH(D93,Товары!$A$2:$A$200,0)),0))</f>
        <v/>
      </c>
      <c r="H93" s="8" t="str">
        <f aca="false">IF(D93="","",F93*G93)</f>
        <v/>
      </c>
      <c r="I93" s="8" t="str">
        <f aca="false">IF(D93="","",F93*IFERROR(INDEX(Товары!$D$2:$D$200,MATCH(D93,Товары!$A$2:$A$200,0)),0))</f>
        <v/>
      </c>
      <c r="J93" s="8" t="str">
        <f aca="false">IF(D93="","",H93-I93)</f>
        <v/>
      </c>
      <c r="K93" s="7" t="str">
        <f aca="false">IF(A93="","",MONTH(A93))</f>
        <v/>
      </c>
      <c r="L93" s="7" t="str">
        <f aca="false">IF(A93="","",YEAR(A93))</f>
        <v/>
      </c>
      <c r="M93" s="9" t="str">
        <f aca="false">IF(B93="","",B93&amp;"|"&amp;COUNTIF(B$2:B93,B93))</f>
        <v/>
      </c>
    </row>
    <row r="94" customFormat="false" ht="15" hidden="false" customHeight="false" outlineLevel="0" collapsed="false">
      <c r="A94" s="5"/>
      <c r="B94" s="6"/>
      <c r="C94" s="6"/>
      <c r="D94" s="6"/>
      <c r="E94" s="7" t="str">
        <f aca="false">IF(D94="","",IFERROR(INDEX(Товары!$B$2:$B$200,MATCH(D94,Товары!$A$2:$A$200,0)),"нет в справочнике"))</f>
        <v/>
      </c>
      <c r="F94" s="6"/>
      <c r="G94" s="8" t="str">
        <f aca="false">IF(D94="","",IFERROR(INDEX(Товары!$C$2:$C$200,MATCH(D94,Товары!$A$2:$A$200,0)),0))</f>
        <v/>
      </c>
      <c r="H94" s="8" t="str">
        <f aca="false">IF(D94="","",F94*G94)</f>
        <v/>
      </c>
      <c r="I94" s="8" t="str">
        <f aca="false">IF(D94="","",F94*IFERROR(INDEX(Товары!$D$2:$D$200,MATCH(D94,Товары!$A$2:$A$200,0)),0))</f>
        <v/>
      </c>
      <c r="J94" s="8" t="str">
        <f aca="false">IF(D94="","",H94-I94)</f>
        <v/>
      </c>
      <c r="K94" s="7" t="str">
        <f aca="false">IF(A94="","",MONTH(A94))</f>
        <v/>
      </c>
      <c r="L94" s="7" t="str">
        <f aca="false">IF(A94="","",YEAR(A94))</f>
        <v/>
      </c>
      <c r="M94" s="9" t="str">
        <f aca="false">IF(B94="","",B94&amp;"|"&amp;COUNTIF(B$2:B94,B94))</f>
        <v/>
      </c>
    </row>
    <row r="95" customFormat="false" ht="15" hidden="false" customHeight="false" outlineLevel="0" collapsed="false">
      <c r="A95" s="5"/>
      <c r="B95" s="6"/>
      <c r="C95" s="6"/>
      <c r="D95" s="6"/>
      <c r="E95" s="7" t="str">
        <f aca="false">IF(D95="","",IFERROR(INDEX(Товары!$B$2:$B$200,MATCH(D95,Товары!$A$2:$A$200,0)),"нет в справочнике"))</f>
        <v/>
      </c>
      <c r="F95" s="6"/>
      <c r="G95" s="8" t="str">
        <f aca="false">IF(D95="","",IFERROR(INDEX(Товары!$C$2:$C$200,MATCH(D95,Товары!$A$2:$A$200,0)),0))</f>
        <v/>
      </c>
      <c r="H95" s="8" t="str">
        <f aca="false">IF(D95="","",F95*G95)</f>
        <v/>
      </c>
      <c r="I95" s="8" t="str">
        <f aca="false">IF(D95="","",F95*IFERROR(INDEX(Товары!$D$2:$D$200,MATCH(D95,Товары!$A$2:$A$200,0)),0))</f>
        <v/>
      </c>
      <c r="J95" s="8" t="str">
        <f aca="false">IF(D95="","",H95-I95)</f>
        <v/>
      </c>
      <c r="K95" s="7" t="str">
        <f aca="false">IF(A95="","",MONTH(A95))</f>
        <v/>
      </c>
      <c r="L95" s="7" t="str">
        <f aca="false">IF(A95="","",YEAR(A95))</f>
        <v/>
      </c>
      <c r="M95" s="9" t="str">
        <f aca="false">IF(B95="","",B95&amp;"|"&amp;COUNTIF(B$2:B95,B95))</f>
        <v/>
      </c>
    </row>
    <row r="96" customFormat="false" ht="15" hidden="false" customHeight="false" outlineLevel="0" collapsed="false">
      <c r="A96" s="5"/>
      <c r="B96" s="6"/>
      <c r="C96" s="6"/>
      <c r="D96" s="6"/>
      <c r="E96" s="7" t="str">
        <f aca="false">IF(D96="","",IFERROR(INDEX(Товары!$B$2:$B$200,MATCH(D96,Товары!$A$2:$A$200,0)),"нет в справочнике"))</f>
        <v/>
      </c>
      <c r="F96" s="6"/>
      <c r="G96" s="8" t="str">
        <f aca="false">IF(D96="","",IFERROR(INDEX(Товары!$C$2:$C$200,MATCH(D96,Товары!$A$2:$A$200,0)),0))</f>
        <v/>
      </c>
      <c r="H96" s="8" t="str">
        <f aca="false">IF(D96="","",F96*G96)</f>
        <v/>
      </c>
      <c r="I96" s="8" t="str">
        <f aca="false">IF(D96="","",F96*IFERROR(INDEX(Товары!$D$2:$D$200,MATCH(D96,Товары!$A$2:$A$200,0)),0))</f>
        <v/>
      </c>
      <c r="J96" s="8" t="str">
        <f aca="false">IF(D96="","",H96-I96)</f>
        <v/>
      </c>
      <c r="K96" s="7" t="str">
        <f aca="false">IF(A96="","",MONTH(A96))</f>
        <v/>
      </c>
      <c r="L96" s="7" t="str">
        <f aca="false">IF(A96="","",YEAR(A96))</f>
        <v/>
      </c>
      <c r="M96" s="9" t="str">
        <f aca="false">IF(B96="","",B96&amp;"|"&amp;COUNTIF(B$2:B96,B96))</f>
        <v/>
      </c>
    </row>
    <row r="97" customFormat="false" ht="15" hidden="false" customHeight="false" outlineLevel="0" collapsed="false">
      <c r="A97" s="5"/>
      <c r="B97" s="6"/>
      <c r="C97" s="6"/>
      <c r="D97" s="6"/>
      <c r="E97" s="7" t="str">
        <f aca="false">IF(D97="","",IFERROR(INDEX(Товары!$B$2:$B$200,MATCH(D97,Товары!$A$2:$A$200,0)),"нет в справочнике"))</f>
        <v/>
      </c>
      <c r="F97" s="6"/>
      <c r="G97" s="8" t="str">
        <f aca="false">IF(D97="","",IFERROR(INDEX(Товары!$C$2:$C$200,MATCH(D97,Товары!$A$2:$A$200,0)),0))</f>
        <v/>
      </c>
      <c r="H97" s="8" t="str">
        <f aca="false">IF(D97="","",F97*G97)</f>
        <v/>
      </c>
      <c r="I97" s="8" t="str">
        <f aca="false">IF(D97="","",F97*IFERROR(INDEX(Товары!$D$2:$D$200,MATCH(D97,Товары!$A$2:$A$200,0)),0))</f>
        <v/>
      </c>
      <c r="J97" s="8" t="str">
        <f aca="false">IF(D97="","",H97-I97)</f>
        <v/>
      </c>
      <c r="K97" s="7" t="str">
        <f aca="false">IF(A97="","",MONTH(A97))</f>
        <v/>
      </c>
      <c r="L97" s="7" t="str">
        <f aca="false">IF(A97="","",YEAR(A97))</f>
        <v/>
      </c>
      <c r="M97" s="9" t="str">
        <f aca="false">IF(B97="","",B97&amp;"|"&amp;COUNTIF(B$2:B97,B97))</f>
        <v/>
      </c>
    </row>
    <row r="98" customFormat="false" ht="15" hidden="false" customHeight="false" outlineLevel="0" collapsed="false">
      <c r="A98" s="5"/>
      <c r="B98" s="6"/>
      <c r="C98" s="6"/>
      <c r="D98" s="6"/>
      <c r="E98" s="7" t="str">
        <f aca="false">IF(D98="","",IFERROR(INDEX(Товары!$B$2:$B$200,MATCH(D98,Товары!$A$2:$A$200,0)),"нет в справочнике"))</f>
        <v/>
      </c>
      <c r="F98" s="6"/>
      <c r="G98" s="8" t="str">
        <f aca="false">IF(D98="","",IFERROR(INDEX(Товары!$C$2:$C$200,MATCH(D98,Товары!$A$2:$A$200,0)),0))</f>
        <v/>
      </c>
      <c r="H98" s="8" t="str">
        <f aca="false">IF(D98="","",F98*G98)</f>
        <v/>
      </c>
      <c r="I98" s="8" t="str">
        <f aca="false">IF(D98="","",F98*IFERROR(INDEX(Товары!$D$2:$D$200,MATCH(D98,Товары!$A$2:$A$200,0)),0))</f>
        <v/>
      </c>
      <c r="J98" s="8" t="str">
        <f aca="false">IF(D98="","",H98-I98)</f>
        <v/>
      </c>
      <c r="K98" s="7" t="str">
        <f aca="false">IF(A98="","",MONTH(A98))</f>
        <v/>
      </c>
      <c r="L98" s="7" t="str">
        <f aca="false">IF(A98="","",YEAR(A98))</f>
        <v/>
      </c>
      <c r="M98" s="9" t="str">
        <f aca="false">IF(B98="","",B98&amp;"|"&amp;COUNTIF(B$2:B98,B98))</f>
        <v/>
      </c>
    </row>
    <row r="99" customFormat="false" ht="15" hidden="false" customHeight="false" outlineLevel="0" collapsed="false">
      <c r="A99" s="5"/>
      <c r="B99" s="6"/>
      <c r="C99" s="6"/>
      <c r="D99" s="6"/>
      <c r="E99" s="7" t="str">
        <f aca="false">IF(D99="","",IFERROR(INDEX(Товары!$B$2:$B$200,MATCH(D99,Товары!$A$2:$A$200,0)),"нет в справочнике"))</f>
        <v/>
      </c>
      <c r="F99" s="6"/>
      <c r="G99" s="8" t="str">
        <f aca="false">IF(D99="","",IFERROR(INDEX(Товары!$C$2:$C$200,MATCH(D99,Товары!$A$2:$A$200,0)),0))</f>
        <v/>
      </c>
      <c r="H99" s="8" t="str">
        <f aca="false">IF(D99="","",F99*G99)</f>
        <v/>
      </c>
      <c r="I99" s="8" t="str">
        <f aca="false">IF(D99="","",F99*IFERROR(INDEX(Товары!$D$2:$D$200,MATCH(D99,Товары!$A$2:$A$200,0)),0))</f>
        <v/>
      </c>
      <c r="J99" s="8" t="str">
        <f aca="false">IF(D99="","",H99-I99)</f>
        <v/>
      </c>
      <c r="K99" s="7" t="str">
        <f aca="false">IF(A99="","",MONTH(A99))</f>
        <v/>
      </c>
      <c r="L99" s="7" t="str">
        <f aca="false">IF(A99="","",YEAR(A99))</f>
        <v/>
      </c>
      <c r="M99" s="9" t="str">
        <f aca="false">IF(B99="","",B99&amp;"|"&amp;COUNTIF(B$2:B99,B99))</f>
        <v/>
      </c>
    </row>
    <row r="100" customFormat="false" ht="15" hidden="false" customHeight="false" outlineLevel="0" collapsed="false">
      <c r="A100" s="5"/>
      <c r="B100" s="6"/>
      <c r="C100" s="6"/>
      <c r="D100" s="6"/>
      <c r="E100" s="7" t="str">
        <f aca="false">IF(D100="","",IFERROR(INDEX(Товары!$B$2:$B$200,MATCH(D100,Товары!$A$2:$A$200,0)),"нет в справочнике"))</f>
        <v/>
      </c>
      <c r="F100" s="6"/>
      <c r="G100" s="8" t="str">
        <f aca="false">IF(D100="","",IFERROR(INDEX(Товары!$C$2:$C$200,MATCH(D100,Товары!$A$2:$A$200,0)),0))</f>
        <v/>
      </c>
      <c r="H100" s="8" t="str">
        <f aca="false">IF(D100="","",F100*G100)</f>
        <v/>
      </c>
      <c r="I100" s="8" t="str">
        <f aca="false">IF(D100="","",F100*IFERROR(INDEX(Товары!$D$2:$D$200,MATCH(D100,Товары!$A$2:$A$200,0)),0))</f>
        <v/>
      </c>
      <c r="J100" s="8" t="str">
        <f aca="false">IF(D100="","",H100-I100)</f>
        <v/>
      </c>
      <c r="K100" s="7" t="str">
        <f aca="false">IF(A100="","",MONTH(A100))</f>
        <v/>
      </c>
      <c r="L100" s="7" t="str">
        <f aca="false">IF(A100="","",YEAR(A100))</f>
        <v/>
      </c>
      <c r="M100" s="9" t="str">
        <f aca="false">IF(B100="","",B100&amp;"|"&amp;COUNTIF(B$2:B100,B100))</f>
        <v/>
      </c>
    </row>
    <row r="101" customFormat="false" ht="15" hidden="false" customHeight="false" outlineLevel="0" collapsed="false">
      <c r="A101" s="5"/>
      <c r="B101" s="6"/>
      <c r="C101" s="6"/>
      <c r="D101" s="6"/>
      <c r="E101" s="7" t="str">
        <f aca="false">IF(D101="","",IFERROR(INDEX(Товары!$B$2:$B$200,MATCH(D101,Товары!$A$2:$A$200,0)),"нет в справочнике"))</f>
        <v/>
      </c>
      <c r="F101" s="6"/>
      <c r="G101" s="8" t="str">
        <f aca="false">IF(D101="","",IFERROR(INDEX(Товары!$C$2:$C$200,MATCH(D101,Товары!$A$2:$A$200,0)),0))</f>
        <v/>
      </c>
      <c r="H101" s="8" t="str">
        <f aca="false">IF(D101="","",F101*G101)</f>
        <v/>
      </c>
      <c r="I101" s="8" t="str">
        <f aca="false">IF(D101="","",F101*IFERROR(INDEX(Товары!$D$2:$D$200,MATCH(D101,Товары!$A$2:$A$200,0)),0))</f>
        <v/>
      </c>
      <c r="J101" s="8" t="str">
        <f aca="false">IF(D101="","",H101-I101)</f>
        <v/>
      </c>
      <c r="K101" s="7" t="str">
        <f aca="false">IF(A101="","",MONTH(A101))</f>
        <v/>
      </c>
      <c r="L101" s="7" t="str">
        <f aca="false">IF(A101="","",YEAR(A101))</f>
        <v/>
      </c>
      <c r="M101" s="9" t="str">
        <f aca="false">IF(B101="","",B101&amp;"|"&amp;COUNTIF(B$2:B101,B101))</f>
        <v/>
      </c>
    </row>
    <row r="102" customFormat="false" ht="15" hidden="false" customHeight="false" outlineLevel="0" collapsed="false">
      <c r="A102" s="5"/>
      <c r="B102" s="6"/>
      <c r="C102" s="6"/>
      <c r="D102" s="6"/>
      <c r="E102" s="7" t="str">
        <f aca="false">IF(D102="","",IFERROR(INDEX(Товары!$B$2:$B$200,MATCH(D102,Товары!$A$2:$A$200,0)),"нет в справочнике"))</f>
        <v/>
      </c>
      <c r="F102" s="6"/>
      <c r="G102" s="8" t="str">
        <f aca="false">IF(D102="","",IFERROR(INDEX(Товары!$C$2:$C$200,MATCH(D102,Товары!$A$2:$A$200,0)),0))</f>
        <v/>
      </c>
      <c r="H102" s="8" t="str">
        <f aca="false">IF(D102="","",F102*G102)</f>
        <v/>
      </c>
      <c r="I102" s="8" t="str">
        <f aca="false">IF(D102="","",F102*IFERROR(INDEX(Товары!$D$2:$D$200,MATCH(D102,Товары!$A$2:$A$200,0)),0))</f>
        <v/>
      </c>
      <c r="J102" s="8" t="str">
        <f aca="false">IF(D102="","",H102-I102)</f>
        <v/>
      </c>
      <c r="K102" s="7" t="str">
        <f aca="false">IF(A102="","",MONTH(A102))</f>
        <v/>
      </c>
      <c r="L102" s="7" t="str">
        <f aca="false">IF(A102="","",YEAR(A102))</f>
        <v/>
      </c>
      <c r="M102" s="9" t="str">
        <f aca="false">IF(B102="","",B102&amp;"|"&amp;COUNTIF(B$2:B102,B102))</f>
        <v/>
      </c>
    </row>
    <row r="103" customFormat="false" ht="15" hidden="false" customHeight="false" outlineLevel="0" collapsed="false">
      <c r="A103" s="5"/>
      <c r="B103" s="6"/>
      <c r="C103" s="6"/>
      <c r="D103" s="6"/>
      <c r="E103" s="7" t="str">
        <f aca="false">IF(D103="","",IFERROR(INDEX(Товары!$B$2:$B$200,MATCH(D103,Товары!$A$2:$A$200,0)),"нет в справочнике"))</f>
        <v/>
      </c>
      <c r="F103" s="6"/>
      <c r="G103" s="8" t="str">
        <f aca="false">IF(D103="","",IFERROR(INDEX(Товары!$C$2:$C$200,MATCH(D103,Товары!$A$2:$A$200,0)),0))</f>
        <v/>
      </c>
      <c r="H103" s="8" t="str">
        <f aca="false">IF(D103="","",F103*G103)</f>
        <v/>
      </c>
      <c r="I103" s="8" t="str">
        <f aca="false">IF(D103="","",F103*IFERROR(INDEX(Товары!$D$2:$D$200,MATCH(D103,Товары!$A$2:$A$200,0)),0))</f>
        <v/>
      </c>
      <c r="J103" s="8" t="str">
        <f aca="false">IF(D103="","",H103-I103)</f>
        <v/>
      </c>
      <c r="K103" s="7" t="str">
        <f aca="false">IF(A103="","",MONTH(A103))</f>
        <v/>
      </c>
      <c r="L103" s="7" t="str">
        <f aca="false">IF(A103="","",YEAR(A103))</f>
        <v/>
      </c>
      <c r="M103" s="9" t="str">
        <f aca="false">IF(B103="","",B103&amp;"|"&amp;COUNTIF(B$2:B103,B103))</f>
        <v/>
      </c>
    </row>
    <row r="104" customFormat="false" ht="15" hidden="false" customHeight="false" outlineLevel="0" collapsed="false">
      <c r="A104" s="5"/>
      <c r="B104" s="6"/>
      <c r="C104" s="6"/>
      <c r="D104" s="6"/>
      <c r="E104" s="7" t="str">
        <f aca="false">IF(D104="","",IFERROR(INDEX(Товары!$B$2:$B$200,MATCH(D104,Товары!$A$2:$A$200,0)),"нет в справочнике"))</f>
        <v/>
      </c>
      <c r="F104" s="6"/>
      <c r="G104" s="8" t="str">
        <f aca="false">IF(D104="","",IFERROR(INDEX(Товары!$C$2:$C$200,MATCH(D104,Товары!$A$2:$A$200,0)),0))</f>
        <v/>
      </c>
      <c r="H104" s="8" t="str">
        <f aca="false">IF(D104="","",F104*G104)</f>
        <v/>
      </c>
      <c r="I104" s="8" t="str">
        <f aca="false">IF(D104="","",F104*IFERROR(INDEX(Товары!$D$2:$D$200,MATCH(D104,Товары!$A$2:$A$200,0)),0))</f>
        <v/>
      </c>
      <c r="J104" s="8" t="str">
        <f aca="false">IF(D104="","",H104-I104)</f>
        <v/>
      </c>
      <c r="K104" s="7" t="str">
        <f aca="false">IF(A104="","",MONTH(A104))</f>
        <v/>
      </c>
      <c r="L104" s="7" t="str">
        <f aca="false">IF(A104="","",YEAR(A104))</f>
        <v/>
      </c>
      <c r="M104" s="9" t="str">
        <f aca="false">IF(B104="","",B104&amp;"|"&amp;COUNTIF(B$2:B104,B104))</f>
        <v/>
      </c>
    </row>
    <row r="105" customFormat="false" ht="15" hidden="false" customHeight="false" outlineLevel="0" collapsed="false">
      <c r="A105" s="5"/>
      <c r="B105" s="6"/>
      <c r="C105" s="6"/>
      <c r="D105" s="6"/>
      <c r="E105" s="7" t="str">
        <f aca="false">IF(D105="","",IFERROR(INDEX(Товары!$B$2:$B$200,MATCH(D105,Товары!$A$2:$A$200,0)),"нет в справочнике"))</f>
        <v/>
      </c>
      <c r="F105" s="6"/>
      <c r="G105" s="8" t="str">
        <f aca="false">IF(D105="","",IFERROR(INDEX(Товары!$C$2:$C$200,MATCH(D105,Товары!$A$2:$A$200,0)),0))</f>
        <v/>
      </c>
      <c r="H105" s="8" t="str">
        <f aca="false">IF(D105="","",F105*G105)</f>
        <v/>
      </c>
      <c r="I105" s="8" t="str">
        <f aca="false">IF(D105="","",F105*IFERROR(INDEX(Товары!$D$2:$D$200,MATCH(D105,Товары!$A$2:$A$200,0)),0))</f>
        <v/>
      </c>
      <c r="J105" s="8" t="str">
        <f aca="false">IF(D105="","",H105-I105)</f>
        <v/>
      </c>
      <c r="K105" s="7" t="str">
        <f aca="false">IF(A105="","",MONTH(A105))</f>
        <v/>
      </c>
      <c r="L105" s="7" t="str">
        <f aca="false">IF(A105="","",YEAR(A105))</f>
        <v/>
      </c>
      <c r="M105" s="9" t="str">
        <f aca="false">IF(B105="","",B105&amp;"|"&amp;COUNTIF(B$2:B105,B105))</f>
        <v/>
      </c>
    </row>
    <row r="106" customFormat="false" ht="15" hidden="false" customHeight="false" outlineLevel="0" collapsed="false">
      <c r="A106" s="5"/>
      <c r="B106" s="6"/>
      <c r="C106" s="6"/>
      <c r="D106" s="6"/>
      <c r="E106" s="7" t="str">
        <f aca="false">IF(D106="","",IFERROR(INDEX(Товары!$B$2:$B$200,MATCH(D106,Товары!$A$2:$A$200,0)),"нет в справочнике"))</f>
        <v/>
      </c>
      <c r="F106" s="6"/>
      <c r="G106" s="8" t="str">
        <f aca="false">IF(D106="","",IFERROR(INDEX(Товары!$C$2:$C$200,MATCH(D106,Товары!$A$2:$A$200,0)),0))</f>
        <v/>
      </c>
      <c r="H106" s="8" t="str">
        <f aca="false">IF(D106="","",F106*G106)</f>
        <v/>
      </c>
      <c r="I106" s="8" t="str">
        <f aca="false">IF(D106="","",F106*IFERROR(INDEX(Товары!$D$2:$D$200,MATCH(D106,Товары!$A$2:$A$200,0)),0))</f>
        <v/>
      </c>
      <c r="J106" s="8" t="str">
        <f aca="false">IF(D106="","",H106-I106)</f>
        <v/>
      </c>
      <c r="K106" s="7" t="str">
        <f aca="false">IF(A106="","",MONTH(A106))</f>
        <v/>
      </c>
      <c r="L106" s="7" t="str">
        <f aca="false">IF(A106="","",YEAR(A106))</f>
        <v/>
      </c>
      <c r="M106" s="9" t="str">
        <f aca="false">IF(B106="","",B106&amp;"|"&amp;COUNTIF(B$2:B106,B106))</f>
        <v/>
      </c>
    </row>
    <row r="107" customFormat="false" ht="15" hidden="false" customHeight="false" outlineLevel="0" collapsed="false">
      <c r="A107" s="5"/>
      <c r="B107" s="6"/>
      <c r="C107" s="6"/>
      <c r="D107" s="6"/>
      <c r="E107" s="7" t="str">
        <f aca="false">IF(D107="","",IFERROR(INDEX(Товары!$B$2:$B$200,MATCH(D107,Товары!$A$2:$A$200,0)),"нет в справочнике"))</f>
        <v/>
      </c>
      <c r="F107" s="6"/>
      <c r="G107" s="8" t="str">
        <f aca="false">IF(D107="","",IFERROR(INDEX(Товары!$C$2:$C$200,MATCH(D107,Товары!$A$2:$A$200,0)),0))</f>
        <v/>
      </c>
      <c r="H107" s="8" t="str">
        <f aca="false">IF(D107="","",F107*G107)</f>
        <v/>
      </c>
      <c r="I107" s="8" t="str">
        <f aca="false">IF(D107="","",F107*IFERROR(INDEX(Товары!$D$2:$D$200,MATCH(D107,Товары!$A$2:$A$200,0)),0))</f>
        <v/>
      </c>
      <c r="J107" s="8" t="str">
        <f aca="false">IF(D107="","",H107-I107)</f>
        <v/>
      </c>
      <c r="K107" s="7" t="str">
        <f aca="false">IF(A107="","",MONTH(A107))</f>
        <v/>
      </c>
      <c r="L107" s="7" t="str">
        <f aca="false">IF(A107="","",YEAR(A107))</f>
        <v/>
      </c>
      <c r="M107" s="9" t="str">
        <f aca="false">IF(B107="","",B107&amp;"|"&amp;COUNTIF(B$2:B107,B107))</f>
        <v/>
      </c>
    </row>
    <row r="108" customFormat="false" ht="15" hidden="false" customHeight="false" outlineLevel="0" collapsed="false">
      <c r="A108" s="5"/>
      <c r="B108" s="6"/>
      <c r="C108" s="6"/>
      <c r="D108" s="6"/>
      <c r="E108" s="7" t="str">
        <f aca="false">IF(D108="","",IFERROR(INDEX(Товары!$B$2:$B$200,MATCH(D108,Товары!$A$2:$A$200,0)),"нет в справочнике"))</f>
        <v/>
      </c>
      <c r="F108" s="6"/>
      <c r="G108" s="8" t="str">
        <f aca="false">IF(D108="","",IFERROR(INDEX(Товары!$C$2:$C$200,MATCH(D108,Товары!$A$2:$A$200,0)),0))</f>
        <v/>
      </c>
      <c r="H108" s="8" t="str">
        <f aca="false">IF(D108="","",F108*G108)</f>
        <v/>
      </c>
      <c r="I108" s="8" t="str">
        <f aca="false">IF(D108="","",F108*IFERROR(INDEX(Товары!$D$2:$D$200,MATCH(D108,Товары!$A$2:$A$200,0)),0))</f>
        <v/>
      </c>
      <c r="J108" s="8" t="str">
        <f aca="false">IF(D108="","",H108-I108)</f>
        <v/>
      </c>
      <c r="K108" s="7" t="str">
        <f aca="false">IF(A108="","",MONTH(A108))</f>
        <v/>
      </c>
      <c r="L108" s="7" t="str">
        <f aca="false">IF(A108="","",YEAR(A108))</f>
        <v/>
      </c>
      <c r="M108" s="9" t="str">
        <f aca="false">IF(B108="","",B108&amp;"|"&amp;COUNTIF(B$2:B108,B108))</f>
        <v/>
      </c>
    </row>
    <row r="109" customFormat="false" ht="15" hidden="false" customHeight="false" outlineLevel="0" collapsed="false">
      <c r="A109" s="5"/>
      <c r="B109" s="6"/>
      <c r="C109" s="6"/>
      <c r="D109" s="6"/>
      <c r="E109" s="7" t="str">
        <f aca="false">IF(D109="","",IFERROR(INDEX(Товары!$B$2:$B$200,MATCH(D109,Товары!$A$2:$A$200,0)),"нет в справочнике"))</f>
        <v/>
      </c>
      <c r="F109" s="6"/>
      <c r="G109" s="8" t="str">
        <f aca="false">IF(D109="","",IFERROR(INDEX(Товары!$C$2:$C$200,MATCH(D109,Товары!$A$2:$A$200,0)),0))</f>
        <v/>
      </c>
      <c r="H109" s="8" t="str">
        <f aca="false">IF(D109="","",F109*G109)</f>
        <v/>
      </c>
      <c r="I109" s="8" t="str">
        <f aca="false">IF(D109="","",F109*IFERROR(INDEX(Товары!$D$2:$D$200,MATCH(D109,Товары!$A$2:$A$200,0)),0))</f>
        <v/>
      </c>
      <c r="J109" s="8" t="str">
        <f aca="false">IF(D109="","",H109-I109)</f>
        <v/>
      </c>
      <c r="K109" s="7" t="str">
        <f aca="false">IF(A109="","",MONTH(A109))</f>
        <v/>
      </c>
      <c r="L109" s="7" t="str">
        <f aca="false">IF(A109="","",YEAR(A109))</f>
        <v/>
      </c>
      <c r="M109" s="9" t="str">
        <f aca="false">IF(B109="","",B109&amp;"|"&amp;COUNTIF(B$2:B109,B109))</f>
        <v/>
      </c>
    </row>
    <row r="110" customFormat="false" ht="15" hidden="false" customHeight="false" outlineLevel="0" collapsed="false">
      <c r="A110" s="5"/>
      <c r="B110" s="6"/>
      <c r="C110" s="6"/>
      <c r="D110" s="6"/>
      <c r="E110" s="7" t="str">
        <f aca="false">IF(D110="","",IFERROR(INDEX(Товары!$B$2:$B$200,MATCH(D110,Товары!$A$2:$A$200,0)),"нет в справочнике"))</f>
        <v/>
      </c>
      <c r="F110" s="6"/>
      <c r="G110" s="8" t="str">
        <f aca="false">IF(D110="","",IFERROR(INDEX(Товары!$C$2:$C$200,MATCH(D110,Товары!$A$2:$A$200,0)),0))</f>
        <v/>
      </c>
      <c r="H110" s="8" t="str">
        <f aca="false">IF(D110="","",F110*G110)</f>
        <v/>
      </c>
      <c r="I110" s="8" t="str">
        <f aca="false">IF(D110="","",F110*IFERROR(INDEX(Товары!$D$2:$D$200,MATCH(D110,Товары!$A$2:$A$200,0)),0))</f>
        <v/>
      </c>
      <c r="J110" s="8" t="str">
        <f aca="false">IF(D110="","",H110-I110)</f>
        <v/>
      </c>
      <c r="K110" s="7" t="str">
        <f aca="false">IF(A110="","",MONTH(A110))</f>
        <v/>
      </c>
      <c r="L110" s="7" t="str">
        <f aca="false">IF(A110="","",YEAR(A110))</f>
        <v/>
      </c>
      <c r="M110" s="9" t="str">
        <f aca="false">IF(B110="","",B110&amp;"|"&amp;COUNTIF(B$2:B110,B110))</f>
        <v/>
      </c>
    </row>
    <row r="111" customFormat="false" ht="15" hidden="false" customHeight="false" outlineLevel="0" collapsed="false">
      <c r="A111" s="5"/>
      <c r="B111" s="6"/>
      <c r="C111" s="6"/>
      <c r="D111" s="6"/>
      <c r="E111" s="7" t="str">
        <f aca="false">IF(D111="","",IFERROR(INDEX(Товары!$B$2:$B$200,MATCH(D111,Товары!$A$2:$A$200,0)),"нет в справочнике"))</f>
        <v/>
      </c>
      <c r="F111" s="6"/>
      <c r="G111" s="8" t="str">
        <f aca="false">IF(D111="","",IFERROR(INDEX(Товары!$C$2:$C$200,MATCH(D111,Товары!$A$2:$A$200,0)),0))</f>
        <v/>
      </c>
      <c r="H111" s="8" t="str">
        <f aca="false">IF(D111="","",F111*G111)</f>
        <v/>
      </c>
      <c r="I111" s="8" t="str">
        <f aca="false">IF(D111="","",F111*IFERROR(INDEX(Товары!$D$2:$D$200,MATCH(D111,Товары!$A$2:$A$200,0)),0))</f>
        <v/>
      </c>
      <c r="J111" s="8" t="str">
        <f aca="false">IF(D111="","",H111-I111)</f>
        <v/>
      </c>
      <c r="K111" s="7" t="str">
        <f aca="false">IF(A111="","",MONTH(A111))</f>
        <v/>
      </c>
      <c r="L111" s="7" t="str">
        <f aca="false">IF(A111="","",YEAR(A111))</f>
        <v/>
      </c>
      <c r="M111" s="9" t="str">
        <f aca="false">IF(B111="","",B111&amp;"|"&amp;COUNTIF(B$2:B111,B111))</f>
        <v/>
      </c>
    </row>
    <row r="112" customFormat="false" ht="15" hidden="false" customHeight="false" outlineLevel="0" collapsed="false">
      <c r="A112" s="5"/>
      <c r="B112" s="6"/>
      <c r="C112" s="6"/>
      <c r="D112" s="6"/>
      <c r="E112" s="7" t="str">
        <f aca="false">IF(D112="","",IFERROR(INDEX(Товары!$B$2:$B$200,MATCH(D112,Товары!$A$2:$A$200,0)),"нет в справочнике"))</f>
        <v/>
      </c>
      <c r="F112" s="6"/>
      <c r="G112" s="8" t="str">
        <f aca="false">IF(D112="","",IFERROR(INDEX(Товары!$C$2:$C$200,MATCH(D112,Товары!$A$2:$A$200,0)),0))</f>
        <v/>
      </c>
      <c r="H112" s="8" t="str">
        <f aca="false">IF(D112="","",F112*G112)</f>
        <v/>
      </c>
      <c r="I112" s="8" t="str">
        <f aca="false">IF(D112="","",F112*IFERROR(INDEX(Товары!$D$2:$D$200,MATCH(D112,Товары!$A$2:$A$200,0)),0))</f>
        <v/>
      </c>
      <c r="J112" s="8" t="str">
        <f aca="false">IF(D112="","",H112-I112)</f>
        <v/>
      </c>
      <c r="K112" s="7" t="str">
        <f aca="false">IF(A112="","",MONTH(A112))</f>
        <v/>
      </c>
      <c r="L112" s="7" t="str">
        <f aca="false">IF(A112="","",YEAR(A112))</f>
        <v/>
      </c>
      <c r="M112" s="9" t="str">
        <f aca="false">IF(B112="","",B112&amp;"|"&amp;COUNTIF(B$2:B112,B112))</f>
        <v/>
      </c>
    </row>
    <row r="113" customFormat="false" ht="15" hidden="false" customHeight="false" outlineLevel="0" collapsed="false">
      <c r="A113" s="5"/>
      <c r="B113" s="6"/>
      <c r="C113" s="6"/>
      <c r="D113" s="6"/>
      <c r="E113" s="7" t="str">
        <f aca="false">IF(D113="","",IFERROR(INDEX(Товары!$B$2:$B$200,MATCH(D113,Товары!$A$2:$A$200,0)),"нет в справочнике"))</f>
        <v/>
      </c>
      <c r="F113" s="6"/>
      <c r="G113" s="8" t="str">
        <f aca="false">IF(D113="","",IFERROR(INDEX(Товары!$C$2:$C$200,MATCH(D113,Товары!$A$2:$A$200,0)),0))</f>
        <v/>
      </c>
      <c r="H113" s="8" t="str">
        <f aca="false">IF(D113="","",F113*G113)</f>
        <v/>
      </c>
      <c r="I113" s="8" t="str">
        <f aca="false">IF(D113="","",F113*IFERROR(INDEX(Товары!$D$2:$D$200,MATCH(D113,Товары!$A$2:$A$200,0)),0))</f>
        <v/>
      </c>
      <c r="J113" s="8" t="str">
        <f aca="false">IF(D113="","",H113-I113)</f>
        <v/>
      </c>
      <c r="K113" s="7" t="str">
        <f aca="false">IF(A113="","",MONTH(A113))</f>
        <v/>
      </c>
      <c r="L113" s="7" t="str">
        <f aca="false">IF(A113="","",YEAR(A113))</f>
        <v/>
      </c>
      <c r="M113" s="9" t="str">
        <f aca="false">IF(B113="","",B113&amp;"|"&amp;COUNTIF(B$2:B113,B113))</f>
        <v/>
      </c>
    </row>
    <row r="114" customFormat="false" ht="15" hidden="false" customHeight="false" outlineLevel="0" collapsed="false">
      <c r="A114" s="5"/>
      <c r="B114" s="6"/>
      <c r="C114" s="6"/>
      <c r="D114" s="6"/>
      <c r="E114" s="7" t="str">
        <f aca="false">IF(D114="","",IFERROR(INDEX(Товары!$B$2:$B$200,MATCH(D114,Товары!$A$2:$A$200,0)),"нет в справочнике"))</f>
        <v/>
      </c>
      <c r="F114" s="6"/>
      <c r="G114" s="8" t="str">
        <f aca="false">IF(D114="","",IFERROR(INDEX(Товары!$C$2:$C$200,MATCH(D114,Товары!$A$2:$A$200,0)),0))</f>
        <v/>
      </c>
      <c r="H114" s="8" t="str">
        <f aca="false">IF(D114="","",F114*G114)</f>
        <v/>
      </c>
      <c r="I114" s="8" t="str">
        <f aca="false">IF(D114="","",F114*IFERROR(INDEX(Товары!$D$2:$D$200,MATCH(D114,Товары!$A$2:$A$200,0)),0))</f>
        <v/>
      </c>
      <c r="J114" s="8" t="str">
        <f aca="false">IF(D114="","",H114-I114)</f>
        <v/>
      </c>
      <c r="K114" s="7" t="str">
        <f aca="false">IF(A114="","",MONTH(A114))</f>
        <v/>
      </c>
      <c r="L114" s="7" t="str">
        <f aca="false">IF(A114="","",YEAR(A114))</f>
        <v/>
      </c>
      <c r="M114" s="9" t="str">
        <f aca="false">IF(B114="","",B114&amp;"|"&amp;COUNTIF(B$2:B114,B114))</f>
        <v/>
      </c>
    </row>
    <row r="115" customFormat="false" ht="15" hidden="false" customHeight="false" outlineLevel="0" collapsed="false">
      <c r="A115" s="5"/>
      <c r="B115" s="6"/>
      <c r="C115" s="6"/>
      <c r="D115" s="6"/>
      <c r="E115" s="7" t="str">
        <f aca="false">IF(D115="","",IFERROR(INDEX(Товары!$B$2:$B$200,MATCH(D115,Товары!$A$2:$A$200,0)),"нет в справочнике"))</f>
        <v/>
      </c>
      <c r="F115" s="6"/>
      <c r="G115" s="8" t="str">
        <f aca="false">IF(D115="","",IFERROR(INDEX(Товары!$C$2:$C$200,MATCH(D115,Товары!$A$2:$A$200,0)),0))</f>
        <v/>
      </c>
      <c r="H115" s="8" t="str">
        <f aca="false">IF(D115="","",F115*G115)</f>
        <v/>
      </c>
      <c r="I115" s="8" t="str">
        <f aca="false">IF(D115="","",F115*IFERROR(INDEX(Товары!$D$2:$D$200,MATCH(D115,Товары!$A$2:$A$200,0)),0))</f>
        <v/>
      </c>
      <c r="J115" s="8" t="str">
        <f aca="false">IF(D115="","",H115-I115)</f>
        <v/>
      </c>
      <c r="K115" s="7" t="str">
        <f aca="false">IF(A115="","",MONTH(A115))</f>
        <v/>
      </c>
      <c r="L115" s="7" t="str">
        <f aca="false">IF(A115="","",YEAR(A115))</f>
        <v/>
      </c>
      <c r="M115" s="9" t="str">
        <f aca="false">IF(B115="","",B115&amp;"|"&amp;COUNTIF(B$2:B115,B115))</f>
        <v/>
      </c>
    </row>
    <row r="116" customFormat="false" ht="15" hidden="false" customHeight="false" outlineLevel="0" collapsed="false">
      <c r="A116" s="5"/>
      <c r="B116" s="6"/>
      <c r="C116" s="6"/>
      <c r="D116" s="6"/>
      <c r="E116" s="7" t="str">
        <f aca="false">IF(D116="","",IFERROR(INDEX(Товары!$B$2:$B$200,MATCH(D116,Товары!$A$2:$A$200,0)),"нет в справочнике"))</f>
        <v/>
      </c>
      <c r="F116" s="6"/>
      <c r="G116" s="8" t="str">
        <f aca="false">IF(D116="","",IFERROR(INDEX(Товары!$C$2:$C$200,MATCH(D116,Товары!$A$2:$A$200,0)),0))</f>
        <v/>
      </c>
      <c r="H116" s="8" t="str">
        <f aca="false">IF(D116="","",F116*G116)</f>
        <v/>
      </c>
      <c r="I116" s="8" t="str">
        <f aca="false">IF(D116="","",F116*IFERROR(INDEX(Товары!$D$2:$D$200,MATCH(D116,Товары!$A$2:$A$200,0)),0))</f>
        <v/>
      </c>
      <c r="J116" s="8" t="str">
        <f aca="false">IF(D116="","",H116-I116)</f>
        <v/>
      </c>
      <c r="K116" s="7" t="str">
        <f aca="false">IF(A116="","",MONTH(A116))</f>
        <v/>
      </c>
      <c r="L116" s="7" t="str">
        <f aca="false">IF(A116="","",YEAR(A116))</f>
        <v/>
      </c>
      <c r="M116" s="9" t="str">
        <f aca="false">IF(B116="","",B116&amp;"|"&amp;COUNTIF(B$2:B116,B116))</f>
        <v/>
      </c>
    </row>
    <row r="117" customFormat="false" ht="15" hidden="false" customHeight="false" outlineLevel="0" collapsed="false">
      <c r="A117" s="5"/>
      <c r="B117" s="6"/>
      <c r="C117" s="6"/>
      <c r="D117" s="6"/>
      <c r="E117" s="7" t="str">
        <f aca="false">IF(D117="","",IFERROR(INDEX(Товары!$B$2:$B$200,MATCH(D117,Товары!$A$2:$A$200,0)),"нет в справочнике"))</f>
        <v/>
      </c>
      <c r="F117" s="6"/>
      <c r="G117" s="8" t="str">
        <f aca="false">IF(D117="","",IFERROR(INDEX(Товары!$C$2:$C$200,MATCH(D117,Товары!$A$2:$A$200,0)),0))</f>
        <v/>
      </c>
      <c r="H117" s="8" t="str">
        <f aca="false">IF(D117="","",F117*G117)</f>
        <v/>
      </c>
      <c r="I117" s="8" t="str">
        <f aca="false">IF(D117="","",F117*IFERROR(INDEX(Товары!$D$2:$D$200,MATCH(D117,Товары!$A$2:$A$200,0)),0))</f>
        <v/>
      </c>
      <c r="J117" s="8" t="str">
        <f aca="false">IF(D117="","",H117-I117)</f>
        <v/>
      </c>
      <c r="K117" s="7" t="str">
        <f aca="false">IF(A117="","",MONTH(A117))</f>
        <v/>
      </c>
      <c r="L117" s="7" t="str">
        <f aca="false">IF(A117="","",YEAR(A117))</f>
        <v/>
      </c>
      <c r="M117" s="9" t="str">
        <f aca="false">IF(B117="","",B117&amp;"|"&amp;COUNTIF(B$2:B117,B117))</f>
        <v/>
      </c>
    </row>
    <row r="118" customFormat="false" ht="15" hidden="false" customHeight="false" outlineLevel="0" collapsed="false">
      <c r="A118" s="5"/>
      <c r="B118" s="6"/>
      <c r="C118" s="6"/>
      <c r="D118" s="6"/>
      <c r="E118" s="7" t="str">
        <f aca="false">IF(D118="","",IFERROR(INDEX(Товары!$B$2:$B$200,MATCH(D118,Товары!$A$2:$A$200,0)),"нет в справочнике"))</f>
        <v/>
      </c>
      <c r="F118" s="6"/>
      <c r="G118" s="8" t="str">
        <f aca="false">IF(D118="","",IFERROR(INDEX(Товары!$C$2:$C$200,MATCH(D118,Товары!$A$2:$A$200,0)),0))</f>
        <v/>
      </c>
      <c r="H118" s="8" t="str">
        <f aca="false">IF(D118="","",F118*G118)</f>
        <v/>
      </c>
      <c r="I118" s="8" t="str">
        <f aca="false">IF(D118="","",F118*IFERROR(INDEX(Товары!$D$2:$D$200,MATCH(D118,Товары!$A$2:$A$200,0)),0))</f>
        <v/>
      </c>
      <c r="J118" s="8" t="str">
        <f aca="false">IF(D118="","",H118-I118)</f>
        <v/>
      </c>
      <c r="K118" s="7" t="str">
        <f aca="false">IF(A118="","",MONTH(A118))</f>
        <v/>
      </c>
      <c r="L118" s="7" t="str">
        <f aca="false">IF(A118="","",YEAR(A118))</f>
        <v/>
      </c>
      <c r="M118" s="9" t="str">
        <f aca="false">IF(B118="","",B118&amp;"|"&amp;COUNTIF(B$2:B118,B118))</f>
        <v/>
      </c>
    </row>
    <row r="119" customFormat="false" ht="15" hidden="false" customHeight="false" outlineLevel="0" collapsed="false">
      <c r="A119" s="5"/>
      <c r="B119" s="6"/>
      <c r="C119" s="6"/>
      <c r="D119" s="6"/>
      <c r="E119" s="7" t="str">
        <f aca="false">IF(D119="","",IFERROR(INDEX(Товары!$B$2:$B$200,MATCH(D119,Товары!$A$2:$A$200,0)),"нет в справочнике"))</f>
        <v/>
      </c>
      <c r="F119" s="6"/>
      <c r="G119" s="8" t="str">
        <f aca="false">IF(D119="","",IFERROR(INDEX(Товары!$C$2:$C$200,MATCH(D119,Товары!$A$2:$A$200,0)),0))</f>
        <v/>
      </c>
      <c r="H119" s="8" t="str">
        <f aca="false">IF(D119="","",F119*G119)</f>
        <v/>
      </c>
      <c r="I119" s="8" t="str">
        <f aca="false">IF(D119="","",F119*IFERROR(INDEX(Товары!$D$2:$D$200,MATCH(D119,Товары!$A$2:$A$200,0)),0))</f>
        <v/>
      </c>
      <c r="J119" s="8" t="str">
        <f aca="false">IF(D119="","",H119-I119)</f>
        <v/>
      </c>
      <c r="K119" s="7" t="str">
        <f aca="false">IF(A119="","",MONTH(A119))</f>
        <v/>
      </c>
      <c r="L119" s="7" t="str">
        <f aca="false">IF(A119="","",YEAR(A119))</f>
        <v/>
      </c>
      <c r="M119" s="9" t="str">
        <f aca="false">IF(B119="","",B119&amp;"|"&amp;COUNTIF(B$2:B119,B119))</f>
        <v/>
      </c>
    </row>
    <row r="120" customFormat="false" ht="15" hidden="false" customHeight="false" outlineLevel="0" collapsed="false">
      <c r="A120" s="5"/>
      <c r="B120" s="6"/>
      <c r="C120" s="6"/>
      <c r="D120" s="6"/>
      <c r="E120" s="7" t="str">
        <f aca="false">IF(D120="","",IFERROR(INDEX(Товары!$B$2:$B$200,MATCH(D120,Товары!$A$2:$A$200,0)),"нет в справочнике"))</f>
        <v/>
      </c>
      <c r="F120" s="6"/>
      <c r="G120" s="8" t="str">
        <f aca="false">IF(D120="","",IFERROR(INDEX(Товары!$C$2:$C$200,MATCH(D120,Товары!$A$2:$A$200,0)),0))</f>
        <v/>
      </c>
      <c r="H120" s="8" t="str">
        <f aca="false">IF(D120="","",F120*G120)</f>
        <v/>
      </c>
      <c r="I120" s="8" t="str">
        <f aca="false">IF(D120="","",F120*IFERROR(INDEX(Товары!$D$2:$D$200,MATCH(D120,Товары!$A$2:$A$200,0)),0))</f>
        <v/>
      </c>
      <c r="J120" s="8" t="str">
        <f aca="false">IF(D120="","",H120-I120)</f>
        <v/>
      </c>
      <c r="K120" s="7" t="str">
        <f aca="false">IF(A120="","",MONTH(A120))</f>
        <v/>
      </c>
      <c r="L120" s="7" t="str">
        <f aca="false">IF(A120="","",YEAR(A120))</f>
        <v/>
      </c>
      <c r="M120" s="9" t="str">
        <f aca="false">IF(B120="","",B120&amp;"|"&amp;COUNTIF(B$2:B120,B120))</f>
        <v/>
      </c>
    </row>
    <row r="121" customFormat="false" ht="15" hidden="false" customHeight="false" outlineLevel="0" collapsed="false">
      <c r="A121" s="5"/>
      <c r="B121" s="6"/>
      <c r="C121" s="6"/>
      <c r="D121" s="6"/>
      <c r="E121" s="7" t="str">
        <f aca="false">IF(D121="","",IFERROR(INDEX(Товары!$B$2:$B$200,MATCH(D121,Товары!$A$2:$A$200,0)),"нет в справочнике"))</f>
        <v/>
      </c>
      <c r="F121" s="6"/>
      <c r="G121" s="8" t="str">
        <f aca="false">IF(D121="","",IFERROR(INDEX(Товары!$C$2:$C$200,MATCH(D121,Товары!$A$2:$A$200,0)),0))</f>
        <v/>
      </c>
      <c r="H121" s="8" t="str">
        <f aca="false">IF(D121="","",F121*G121)</f>
        <v/>
      </c>
      <c r="I121" s="8" t="str">
        <f aca="false">IF(D121="","",F121*IFERROR(INDEX(Товары!$D$2:$D$200,MATCH(D121,Товары!$A$2:$A$200,0)),0))</f>
        <v/>
      </c>
      <c r="J121" s="8" t="str">
        <f aca="false">IF(D121="","",H121-I121)</f>
        <v/>
      </c>
      <c r="K121" s="7" t="str">
        <f aca="false">IF(A121="","",MONTH(A121))</f>
        <v/>
      </c>
      <c r="L121" s="7" t="str">
        <f aca="false">IF(A121="","",YEAR(A121))</f>
        <v/>
      </c>
      <c r="M121" s="9" t="str">
        <f aca="false">IF(B121="","",B121&amp;"|"&amp;COUNTIF(B$2:B121,B121))</f>
        <v/>
      </c>
    </row>
    <row r="122" customFormat="false" ht="15" hidden="false" customHeight="false" outlineLevel="0" collapsed="false">
      <c r="A122" s="5"/>
      <c r="B122" s="6"/>
      <c r="C122" s="6"/>
      <c r="D122" s="6"/>
      <c r="E122" s="7" t="str">
        <f aca="false">IF(D122="","",IFERROR(INDEX(Товары!$B$2:$B$200,MATCH(D122,Товары!$A$2:$A$200,0)),"нет в справочнике"))</f>
        <v/>
      </c>
      <c r="F122" s="6"/>
      <c r="G122" s="8" t="str">
        <f aca="false">IF(D122="","",IFERROR(INDEX(Товары!$C$2:$C$200,MATCH(D122,Товары!$A$2:$A$200,0)),0))</f>
        <v/>
      </c>
      <c r="H122" s="8" t="str">
        <f aca="false">IF(D122="","",F122*G122)</f>
        <v/>
      </c>
      <c r="I122" s="8" t="str">
        <f aca="false">IF(D122="","",F122*IFERROR(INDEX(Товары!$D$2:$D$200,MATCH(D122,Товары!$A$2:$A$200,0)),0))</f>
        <v/>
      </c>
      <c r="J122" s="8" t="str">
        <f aca="false">IF(D122="","",H122-I122)</f>
        <v/>
      </c>
      <c r="K122" s="7" t="str">
        <f aca="false">IF(A122="","",MONTH(A122))</f>
        <v/>
      </c>
      <c r="L122" s="7" t="str">
        <f aca="false">IF(A122="","",YEAR(A122))</f>
        <v/>
      </c>
      <c r="M122" s="9" t="str">
        <f aca="false">IF(B122="","",B122&amp;"|"&amp;COUNTIF(B$2:B122,B122))</f>
        <v/>
      </c>
    </row>
    <row r="123" customFormat="false" ht="15" hidden="false" customHeight="false" outlineLevel="0" collapsed="false">
      <c r="A123" s="5"/>
      <c r="B123" s="6"/>
      <c r="C123" s="6"/>
      <c r="D123" s="6"/>
      <c r="E123" s="7" t="str">
        <f aca="false">IF(D123="","",IFERROR(INDEX(Товары!$B$2:$B$200,MATCH(D123,Товары!$A$2:$A$200,0)),"нет в справочнике"))</f>
        <v/>
      </c>
      <c r="F123" s="6"/>
      <c r="G123" s="8" t="str">
        <f aca="false">IF(D123="","",IFERROR(INDEX(Товары!$C$2:$C$200,MATCH(D123,Товары!$A$2:$A$200,0)),0))</f>
        <v/>
      </c>
      <c r="H123" s="8" t="str">
        <f aca="false">IF(D123="","",F123*G123)</f>
        <v/>
      </c>
      <c r="I123" s="8" t="str">
        <f aca="false">IF(D123="","",F123*IFERROR(INDEX(Товары!$D$2:$D$200,MATCH(D123,Товары!$A$2:$A$200,0)),0))</f>
        <v/>
      </c>
      <c r="J123" s="8" t="str">
        <f aca="false">IF(D123="","",H123-I123)</f>
        <v/>
      </c>
      <c r="K123" s="7" t="str">
        <f aca="false">IF(A123="","",MONTH(A123))</f>
        <v/>
      </c>
      <c r="L123" s="7" t="str">
        <f aca="false">IF(A123="","",YEAR(A123))</f>
        <v/>
      </c>
      <c r="M123" s="9" t="str">
        <f aca="false">IF(B123="","",B123&amp;"|"&amp;COUNTIF(B$2:B123,B123))</f>
        <v/>
      </c>
    </row>
    <row r="124" customFormat="false" ht="15" hidden="false" customHeight="false" outlineLevel="0" collapsed="false">
      <c r="A124" s="5"/>
      <c r="B124" s="6"/>
      <c r="C124" s="6"/>
      <c r="D124" s="6"/>
      <c r="E124" s="7" t="str">
        <f aca="false">IF(D124="","",IFERROR(INDEX(Товары!$B$2:$B$200,MATCH(D124,Товары!$A$2:$A$200,0)),"нет в справочнике"))</f>
        <v/>
      </c>
      <c r="F124" s="6"/>
      <c r="G124" s="8" t="str">
        <f aca="false">IF(D124="","",IFERROR(INDEX(Товары!$C$2:$C$200,MATCH(D124,Товары!$A$2:$A$200,0)),0))</f>
        <v/>
      </c>
      <c r="H124" s="8" t="str">
        <f aca="false">IF(D124="","",F124*G124)</f>
        <v/>
      </c>
      <c r="I124" s="8" t="str">
        <f aca="false">IF(D124="","",F124*IFERROR(INDEX(Товары!$D$2:$D$200,MATCH(D124,Товары!$A$2:$A$200,0)),0))</f>
        <v/>
      </c>
      <c r="J124" s="8" t="str">
        <f aca="false">IF(D124="","",H124-I124)</f>
        <v/>
      </c>
      <c r="K124" s="7" t="str">
        <f aca="false">IF(A124="","",MONTH(A124))</f>
        <v/>
      </c>
      <c r="L124" s="7" t="str">
        <f aca="false">IF(A124="","",YEAR(A124))</f>
        <v/>
      </c>
      <c r="M124" s="9" t="str">
        <f aca="false">IF(B124="","",B124&amp;"|"&amp;COUNTIF(B$2:B124,B124))</f>
        <v/>
      </c>
    </row>
    <row r="125" customFormat="false" ht="15" hidden="false" customHeight="false" outlineLevel="0" collapsed="false">
      <c r="A125" s="5"/>
      <c r="B125" s="6"/>
      <c r="C125" s="6"/>
      <c r="D125" s="6"/>
      <c r="E125" s="7" t="str">
        <f aca="false">IF(D125="","",IFERROR(INDEX(Товары!$B$2:$B$200,MATCH(D125,Товары!$A$2:$A$200,0)),"нет в справочнике"))</f>
        <v/>
      </c>
      <c r="F125" s="6"/>
      <c r="G125" s="8" t="str">
        <f aca="false">IF(D125="","",IFERROR(INDEX(Товары!$C$2:$C$200,MATCH(D125,Товары!$A$2:$A$200,0)),0))</f>
        <v/>
      </c>
      <c r="H125" s="8" t="str">
        <f aca="false">IF(D125="","",F125*G125)</f>
        <v/>
      </c>
      <c r="I125" s="8" t="str">
        <f aca="false">IF(D125="","",F125*IFERROR(INDEX(Товары!$D$2:$D$200,MATCH(D125,Товары!$A$2:$A$200,0)),0))</f>
        <v/>
      </c>
      <c r="J125" s="8" t="str">
        <f aca="false">IF(D125="","",H125-I125)</f>
        <v/>
      </c>
      <c r="K125" s="7" t="str">
        <f aca="false">IF(A125="","",MONTH(A125))</f>
        <v/>
      </c>
      <c r="L125" s="7" t="str">
        <f aca="false">IF(A125="","",YEAR(A125))</f>
        <v/>
      </c>
      <c r="M125" s="9" t="str">
        <f aca="false">IF(B125="","",B125&amp;"|"&amp;COUNTIF(B$2:B125,B125))</f>
        <v/>
      </c>
    </row>
    <row r="126" customFormat="false" ht="15" hidden="false" customHeight="false" outlineLevel="0" collapsed="false">
      <c r="A126" s="5"/>
      <c r="B126" s="6"/>
      <c r="C126" s="6"/>
      <c r="D126" s="6"/>
      <c r="E126" s="7" t="str">
        <f aca="false">IF(D126="","",IFERROR(INDEX(Товары!$B$2:$B$200,MATCH(D126,Товары!$A$2:$A$200,0)),"нет в справочнике"))</f>
        <v/>
      </c>
      <c r="F126" s="6"/>
      <c r="G126" s="8" t="str">
        <f aca="false">IF(D126="","",IFERROR(INDEX(Товары!$C$2:$C$200,MATCH(D126,Товары!$A$2:$A$200,0)),0))</f>
        <v/>
      </c>
      <c r="H126" s="8" t="str">
        <f aca="false">IF(D126="","",F126*G126)</f>
        <v/>
      </c>
      <c r="I126" s="8" t="str">
        <f aca="false">IF(D126="","",F126*IFERROR(INDEX(Товары!$D$2:$D$200,MATCH(D126,Товары!$A$2:$A$200,0)),0))</f>
        <v/>
      </c>
      <c r="J126" s="8" t="str">
        <f aca="false">IF(D126="","",H126-I126)</f>
        <v/>
      </c>
      <c r="K126" s="7" t="str">
        <f aca="false">IF(A126="","",MONTH(A126))</f>
        <v/>
      </c>
      <c r="L126" s="7" t="str">
        <f aca="false">IF(A126="","",YEAR(A126))</f>
        <v/>
      </c>
      <c r="M126" s="9" t="str">
        <f aca="false">IF(B126="","",B126&amp;"|"&amp;COUNTIF(B$2:B126,B126))</f>
        <v/>
      </c>
    </row>
    <row r="127" customFormat="false" ht="15" hidden="false" customHeight="false" outlineLevel="0" collapsed="false">
      <c r="A127" s="5"/>
      <c r="B127" s="6"/>
      <c r="C127" s="6"/>
      <c r="D127" s="6"/>
      <c r="E127" s="7" t="str">
        <f aca="false">IF(D127="","",IFERROR(INDEX(Товары!$B$2:$B$200,MATCH(D127,Товары!$A$2:$A$200,0)),"нет в справочнике"))</f>
        <v/>
      </c>
      <c r="F127" s="6"/>
      <c r="G127" s="8" t="str">
        <f aca="false">IF(D127="","",IFERROR(INDEX(Товары!$C$2:$C$200,MATCH(D127,Товары!$A$2:$A$200,0)),0))</f>
        <v/>
      </c>
      <c r="H127" s="8" t="str">
        <f aca="false">IF(D127="","",F127*G127)</f>
        <v/>
      </c>
      <c r="I127" s="8" t="str">
        <f aca="false">IF(D127="","",F127*IFERROR(INDEX(Товары!$D$2:$D$200,MATCH(D127,Товары!$A$2:$A$200,0)),0))</f>
        <v/>
      </c>
      <c r="J127" s="8" t="str">
        <f aca="false">IF(D127="","",H127-I127)</f>
        <v/>
      </c>
      <c r="K127" s="7" t="str">
        <f aca="false">IF(A127="","",MONTH(A127))</f>
        <v/>
      </c>
      <c r="L127" s="7" t="str">
        <f aca="false">IF(A127="","",YEAR(A127))</f>
        <v/>
      </c>
      <c r="M127" s="9" t="str">
        <f aca="false">IF(B127="","",B127&amp;"|"&amp;COUNTIF(B$2:B127,B127))</f>
        <v/>
      </c>
    </row>
    <row r="128" customFormat="false" ht="15" hidden="false" customHeight="false" outlineLevel="0" collapsed="false">
      <c r="A128" s="5"/>
      <c r="B128" s="6"/>
      <c r="C128" s="6"/>
      <c r="D128" s="6"/>
      <c r="E128" s="7" t="str">
        <f aca="false">IF(D128="","",IFERROR(INDEX(Товары!$B$2:$B$200,MATCH(D128,Товары!$A$2:$A$200,0)),"нет в справочнике"))</f>
        <v/>
      </c>
      <c r="F128" s="6"/>
      <c r="G128" s="8" t="str">
        <f aca="false">IF(D128="","",IFERROR(INDEX(Товары!$C$2:$C$200,MATCH(D128,Товары!$A$2:$A$200,0)),0))</f>
        <v/>
      </c>
      <c r="H128" s="8" t="str">
        <f aca="false">IF(D128="","",F128*G128)</f>
        <v/>
      </c>
      <c r="I128" s="8" t="str">
        <f aca="false">IF(D128="","",F128*IFERROR(INDEX(Товары!$D$2:$D$200,MATCH(D128,Товары!$A$2:$A$200,0)),0))</f>
        <v/>
      </c>
      <c r="J128" s="8" t="str">
        <f aca="false">IF(D128="","",H128-I128)</f>
        <v/>
      </c>
      <c r="K128" s="7" t="str">
        <f aca="false">IF(A128="","",MONTH(A128))</f>
        <v/>
      </c>
      <c r="L128" s="7" t="str">
        <f aca="false">IF(A128="","",YEAR(A128))</f>
        <v/>
      </c>
      <c r="M128" s="9" t="str">
        <f aca="false">IF(B128="","",B128&amp;"|"&amp;COUNTIF(B$2:B128,B128))</f>
        <v/>
      </c>
    </row>
    <row r="129" customFormat="false" ht="15" hidden="false" customHeight="false" outlineLevel="0" collapsed="false">
      <c r="A129" s="5"/>
      <c r="B129" s="6"/>
      <c r="C129" s="6"/>
      <c r="D129" s="6"/>
      <c r="E129" s="7" t="str">
        <f aca="false">IF(D129="","",IFERROR(INDEX(Товары!$B$2:$B$200,MATCH(D129,Товары!$A$2:$A$200,0)),"нет в справочнике"))</f>
        <v/>
      </c>
      <c r="F129" s="6"/>
      <c r="G129" s="8" t="str">
        <f aca="false">IF(D129="","",IFERROR(INDEX(Товары!$C$2:$C$200,MATCH(D129,Товары!$A$2:$A$200,0)),0))</f>
        <v/>
      </c>
      <c r="H129" s="8" t="str">
        <f aca="false">IF(D129="","",F129*G129)</f>
        <v/>
      </c>
      <c r="I129" s="8" t="str">
        <f aca="false">IF(D129="","",F129*IFERROR(INDEX(Товары!$D$2:$D$200,MATCH(D129,Товары!$A$2:$A$200,0)),0))</f>
        <v/>
      </c>
      <c r="J129" s="8" t="str">
        <f aca="false">IF(D129="","",H129-I129)</f>
        <v/>
      </c>
      <c r="K129" s="7" t="str">
        <f aca="false">IF(A129="","",MONTH(A129))</f>
        <v/>
      </c>
      <c r="L129" s="7" t="str">
        <f aca="false">IF(A129="","",YEAR(A129))</f>
        <v/>
      </c>
      <c r="M129" s="9" t="str">
        <f aca="false">IF(B129="","",B129&amp;"|"&amp;COUNTIF(B$2:B129,B129))</f>
        <v/>
      </c>
    </row>
    <row r="130" customFormat="false" ht="15" hidden="false" customHeight="false" outlineLevel="0" collapsed="false">
      <c r="A130" s="5"/>
      <c r="B130" s="6"/>
      <c r="C130" s="6"/>
      <c r="D130" s="6"/>
      <c r="E130" s="7" t="str">
        <f aca="false">IF(D130="","",IFERROR(INDEX(Товары!$B$2:$B$200,MATCH(D130,Товары!$A$2:$A$200,0)),"нет в справочнике"))</f>
        <v/>
      </c>
      <c r="F130" s="6"/>
      <c r="G130" s="8" t="str">
        <f aca="false">IF(D130="","",IFERROR(INDEX(Товары!$C$2:$C$200,MATCH(D130,Товары!$A$2:$A$200,0)),0))</f>
        <v/>
      </c>
      <c r="H130" s="8" t="str">
        <f aca="false">IF(D130="","",F130*G130)</f>
        <v/>
      </c>
      <c r="I130" s="8" t="str">
        <f aca="false">IF(D130="","",F130*IFERROR(INDEX(Товары!$D$2:$D$200,MATCH(D130,Товары!$A$2:$A$200,0)),0))</f>
        <v/>
      </c>
      <c r="J130" s="8" t="str">
        <f aca="false">IF(D130="","",H130-I130)</f>
        <v/>
      </c>
      <c r="K130" s="7" t="str">
        <f aca="false">IF(A130="","",MONTH(A130))</f>
        <v/>
      </c>
      <c r="L130" s="7" t="str">
        <f aca="false">IF(A130="","",YEAR(A130))</f>
        <v/>
      </c>
      <c r="M130" s="9" t="str">
        <f aca="false">IF(B130="","",B130&amp;"|"&amp;COUNTIF(B$2:B130,B130))</f>
        <v/>
      </c>
    </row>
    <row r="131" customFormat="false" ht="15" hidden="false" customHeight="false" outlineLevel="0" collapsed="false">
      <c r="A131" s="5"/>
      <c r="B131" s="6"/>
      <c r="C131" s="6"/>
      <c r="D131" s="6"/>
      <c r="E131" s="7" t="str">
        <f aca="false">IF(D131="","",IFERROR(INDEX(Товары!$B$2:$B$200,MATCH(D131,Товары!$A$2:$A$200,0)),"нет в справочнике"))</f>
        <v/>
      </c>
      <c r="F131" s="6"/>
      <c r="G131" s="8" t="str">
        <f aca="false">IF(D131="","",IFERROR(INDEX(Товары!$C$2:$C$200,MATCH(D131,Товары!$A$2:$A$200,0)),0))</f>
        <v/>
      </c>
      <c r="H131" s="8" t="str">
        <f aca="false">IF(D131="","",F131*G131)</f>
        <v/>
      </c>
      <c r="I131" s="8" t="str">
        <f aca="false">IF(D131="","",F131*IFERROR(INDEX(Товары!$D$2:$D$200,MATCH(D131,Товары!$A$2:$A$200,0)),0))</f>
        <v/>
      </c>
      <c r="J131" s="8" t="str">
        <f aca="false">IF(D131="","",H131-I131)</f>
        <v/>
      </c>
      <c r="K131" s="7" t="str">
        <f aca="false">IF(A131="","",MONTH(A131))</f>
        <v/>
      </c>
      <c r="L131" s="7" t="str">
        <f aca="false">IF(A131="","",YEAR(A131))</f>
        <v/>
      </c>
      <c r="M131" s="9" t="str">
        <f aca="false">IF(B131="","",B131&amp;"|"&amp;COUNTIF(B$2:B131,B131))</f>
        <v/>
      </c>
    </row>
    <row r="132" customFormat="false" ht="15" hidden="false" customHeight="false" outlineLevel="0" collapsed="false">
      <c r="A132" s="5"/>
      <c r="B132" s="6"/>
      <c r="C132" s="6"/>
      <c r="D132" s="6"/>
      <c r="E132" s="7" t="str">
        <f aca="false">IF(D132="","",IFERROR(INDEX(Товары!$B$2:$B$200,MATCH(D132,Товары!$A$2:$A$200,0)),"нет в справочнике"))</f>
        <v/>
      </c>
      <c r="F132" s="6"/>
      <c r="G132" s="8" t="str">
        <f aca="false">IF(D132="","",IFERROR(INDEX(Товары!$C$2:$C$200,MATCH(D132,Товары!$A$2:$A$200,0)),0))</f>
        <v/>
      </c>
      <c r="H132" s="8" t="str">
        <f aca="false">IF(D132="","",F132*G132)</f>
        <v/>
      </c>
      <c r="I132" s="8" t="str">
        <f aca="false">IF(D132="","",F132*IFERROR(INDEX(Товары!$D$2:$D$200,MATCH(D132,Товары!$A$2:$A$200,0)),0))</f>
        <v/>
      </c>
      <c r="J132" s="8" t="str">
        <f aca="false">IF(D132="","",H132-I132)</f>
        <v/>
      </c>
      <c r="K132" s="7" t="str">
        <f aca="false">IF(A132="","",MONTH(A132))</f>
        <v/>
      </c>
      <c r="L132" s="7" t="str">
        <f aca="false">IF(A132="","",YEAR(A132))</f>
        <v/>
      </c>
      <c r="M132" s="9" t="str">
        <f aca="false">IF(B132="","",B132&amp;"|"&amp;COUNTIF(B$2:B132,B132))</f>
        <v/>
      </c>
    </row>
    <row r="133" customFormat="false" ht="15" hidden="false" customHeight="false" outlineLevel="0" collapsed="false">
      <c r="A133" s="5"/>
      <c r="B133" s="6"/>
      <c r="C133" s="6"/>
      <c r="D133" s="6"/>
      <c r="E133" s="7" t="str">
        <f aca="false">IF(D133="","",IFERROR(INDEX(Товары!$B$2:$B$200,MATCH(D133,Товары!$A$2:$A$200,0)),"нет в справочнике"))</f>
        <v/>
      </c>
      <c r="F133" s="6"/>
      <c r="G133" s="8" t="str">
        <f aca="false">IF(D133="","",IFERROR(INDEX(Товары!$C$2:$C$200,MATCH(D133,Товары!$A$2:$A$200,0)),0))</f>
        <v/>
      </c>
      <c r="H133" s="8" t="str">
        <f aca="false">IF(D133="","",F133*G133)</f>
        <v/>
      </c>
      <c r="I133" s="8" t="str">
        <f aca="false">IF(D133="","",F133*IFERROR(INDEX(Товары!$D$2:$D$200,MATCH(D133,Товары!$A$2:$A$200,0)),0))</f>
        <v/>
      </c>
      <c r="J133" s="8" t="str">
        <f aca="false">IF(D133="","",H133-I133)</f>
        <v/>
      </c>
      <c r="K133" s="7" t="str">
        <f aca="false">IF(A133="","",MONTH(A133))</f>
        <v/>
      </c>
      <c r="L133" s="7" t="str">
        <f aca="false">IF(A133="","",YEAR(A133))</f>
        <v/>
      </c>
      <c r="M133" s="9" t="str">
        <f aca="false">IF(B133="","",B133&amp;"|"&amp;COUNTIF(B$2:B133,B133))</f>
        <v/>
      </c>
    </row>
    <row r="134" customFormat="false" ht="15" hidden="false" customHeight="false" outlineLevel="0" collapsed="false">
      <c r="A134" s="5"/>
      <c r="B134" s="6"/>
      <c r="C134" s="6"/>
      <c r="D134" s="6"/>
      <c r="E134" s="7" t="str">
        <f aca="false">IF(D134="","",IFERROR(INDEX(Товары!$B$2:$B$200,MATCH(D134,Товары!$A$2:$A$200,0)),"нет в справочнике"))</f>
        <v/>
      </c>
      <c r="F134" s="6"/>
      <c r="G134" s="8" t="str">
        <f aca="false">IF(D134="","",IFERROR(INDEX(Товары!$C$2:$C$200,MATCH(D134,Товары!$A$2:$A$200,0)),0))</f>
        <v/>
      </c>
      <c r="H134" s="8" t="str">
        <f aca="false">IF(D134="","",F134*G134)</f>
        <v/>
      </c>
      <c r="I134" s="8" t="str">
        <f aca="false">IF(D134="","",F134*IFERROR(INDEX(Товары!$D$2:$D$200,MATCH(D134,Товары!$A$2:$A$200,0)),0))</f>
        <v/>
      </c>
      <c r="J134" s="8" t="str">
        <f aca="false">IF(D134="","",H134-I134)</f>
        <v/>
      </c>
      <c r="K134" s="7" t="str">
        <f aca="false">IF(A134="","",MONTH(A134))</f>
        <v/>
      </c>
      <c r="L134" s="7" t="str">
        <f aca="false">IF(A134="","",YEAR(A134))</f>
        <v/>
      </c>
      <c r="M134" s="9" t="str">
        <f aca="false">IF(B134="","",B134&amp;"|"&amp;COUNTIF(B$2:B134,B134))</f>
        <v/>
      </c>
    </row>
    <row r="135" customFormat="false" ht="15" hidden="false" customHeight="false" outlineLevel="0" collapsed="false">
      <c r="A135" s="5"/>
      <c r="B135" s="6"/>
      <c r="C135" s="6"/>
      <c r="D135" s="6"/>
      <c r="E135" s="7" t="str">
        <f aca="false">IF(D135="","",IFERROR(INDEX(Товары!$B$2:$B$200,MATCH(D135,Товары!$A$2:$A$200,0)),"нет в справочнике"))</f>
        <v/>
      </c>
      <c r="F135" s="6"/>
      <c r="G135" s="8" t="str">
        <f aca="false">IF(D135="","",IFERROR(INDEX(Товары!$C$2:$C$200,MATCH(D135,Товары!$A$2:$A$200,0)),0))</f>
        <v/>
      </c>
      <c r="H135" s="8" t="str">
        <f aca="false">IF(D135="","",F135*G135)</f>
        <v/>
      </c>
      <c r="I135" s="8" t="str">
        <f aca="false">IF(D135="","",F135*IFERROR(INDEX(Товары!$D$2:$D$200,MATCH(D135,Товары!$A$2:$A$200,0)),0))</f>
        <v/>
      </c>
      <c r="J135" s="8" t="str">
        <f aca="false">IF(D135="","",H135-I135)</f>
        <v/>
      </c>
      <c r="K135" s="7" t="str">
        <f aca="false">IF(A135="","",MONTH(A135))</f>
        <v/>
      </c>
      <c r="L135" s="7" t="str">
        <f aca="false">IF(A135="","",YEAR(A135))</f>
        <v/>
      </c>
      <c r="M135" s="9" t="str">
        <f aca="false">IF(B135="","",B135&amp;"|"&amp;COUNTIF(B$2:B135,B135))</f>
        <v/>
      </c>
    </row>
    <row r="136" customFormat="false" ht="15" hidden="false" customHeight="false" outlineLevel="0" collapsed="false">
      <c r="A136" s="5"/>
      <c r="B136" s="6"/>
      <c r="C136" s="6"/>
      <c r="D136" s="6"/>
      <c r="E136" s="7" t="str">
        <f aca="false">IF(D136="","",IFERROR(INDEX(Товары!$B$2:$B$200,MATCH(D136,Товары!$A$2:$A$200,0)),"нет в справочнике"))</f>
        <v/>
      </c>
      <c r="F136" s="6"/>
      <c r="G136" s="8" t="str">
        <f aca="false">IF(D136="","",IFERROR(INDEX(Товары!$C$2:$C$200,MATCH(D136,Товары!$A$2:$A$200,0)),0))</f>
        <v/>
      </c>
      <c r="H136" s="8" t="str">
        <f aca="false">IF(D136="","",F136*G136)</f>
        <v/>
      </c>
      <c r="I136" s="8" t="str">
        <f aca="false">IF(D136="","",F136*IFERROR(INDEX(Товары!$D$2:$D$200,MATCH(D136,Товары!$A$2:$A$200,0)),0))</f>
        <v/>
      </c>
      <c r="J136" s="8" t="str">
        <f aca="false">IF(D136="","",H136-I136)</f>
        <v/>
      </c>
      <c r="K136" s="7" t="str">
        <f aca="false">IF(A136="","",MONTH(A136))</f>
        <v/>
      </c>
      <c r="L136" s="7" t="str">
        <f aca="false">IF(A136="","",YEAR(A136))</f>
        <v/>
      </c>
      <c r="M136" s="9" t="str">
        <f aca="false">IF(B136="","",B136&amp;"|"&amp;COUNTIF(B$2:B136,B136))</f>
        <v/>
      </c>
    </row>
    <row r="137" customFormat="false" ht="15" hidden="false" customHeight="false" outlineLevel="0" collapsed="false">
      <c r="A137" s="5"/>
      <c r="B137" s="6"/>
      <c r="C137" s="6"/>
      <c r="D137" s="6"/>
      <c r="E137" s="7" t="str">
        <f aca="false">IF(D137="","",IFERROR(INDEX(Товары!$B$2:$B$200,MATCH(D137,Товары!$A$2:$A$200,0)),"нет в справочнике"))</f>
        <v/>
      </c>
      <c r="F137" s="6"/>
      <c r="G137" s="8" t="str">
        <f aca="false">IF(D137="","",IFERROR(INDEX(Товары!$C$2:$C$200,MATCH(D137,Товары!$A$2:$A$200,0)),0))</f>
        <v/>
      </c>
      <c r="H137" s="8" t="str">
        <f aca="false">IF(D137="","",F137*G137)</f>
        <v/>
      </c>
      <c r="I137" s="8" t="str">
        <f aca="false">IF(D137="","",F137*IFERROR(INDEX(Товары!$D$2:$D$200,MATCH(D137,Товары!$A$2:$A$200,0)),0))</f>
        <v/>
      </c>
      <c r="J137" s="8" t="str">
        <f aca="false">IF(D137="","",H137-I137)</f>
        <v/>
      </c>
      <c r="K137" s="7" t="str">
        <f aca="false">IF(A137="","",MONTH(A137))</f>
        <v/>
      </c>
      <c r="L137" s="7" t="str">
        <f aca="false">IF(A137="","",YEAR(A137))</f>
        <v/>
      </c>
      <c r="M137" s="9" t="str">
        <f aca="false">IF(B137="","",B137&amp;"|"&amp;COUNTIF(B$2:B137,B137))</f>
        <v/>
      </c>
    </row>
    <row r="138" customFormat="false" ht="15" hidden="false" customHeight="false" outlineLevel="0" collapsed="false">
      <c r="A138" s="5"/>
      <c r="B138" s="6"/>
      <c r="C138" s="6"/>
      <c r="D138" s="6"/>
      <c r="E138" s="7" t="str">
        <f aca="false">IF(D138="","",IFERROR(INDEX(Товары!$B$2:$B$200,MATCH(D138,Товары!$A$2:$A$200,0)),"нет в справочнике"))</f>
        <v/>
      </c>
      <c r="F138" s="6"/>
      <c r="G138" s="8" t="str">
        <f aca="false">IF(D138="","",IFERROR(INDEX(Товары!$C$2:$C$200,MATCH(D138,Товары!$A$2:$A$200,0)),0))</f>
        <v/>
      </c>
      <c r="H138" s="8" t="str">
        <f aca="false">IF(D138="","",F138*G138)</f>
        <v/>
      </c>
      <c r="I138" s="8" t="str">
        <f aca="false">IF(D138="","",F138*IFERROR(INDEX(Товары!$D$2:$D$200,MATCH(D138,Товары!$A$2:$A$200,0)),0))</f>
        <v/>
      </c>
      <c r="J138" s="8" t="str">
        <f aca="false">IF(D138="","",H138-I138)</f>
        <v/>
      </c>
      <c r="K138" s="7" t="str">
        <f aca="false">IF(A138="","",MONTH(A138))</f>
        <v/>
      </c>
      <c r="L138" s="7" t="str">
        <f aca="false">IF(A138="","",YEAR(A138))</f>
        <v/>
      </c>
      <c r="M138" s="9" t="str">
        <f aca="false">IF(B138="","",B138&amp;"|"&amp;COUNTIF(B$2:B138,B138))</f>
        <v/>
      </c>
    </row>
    <row r="139" customFormat="false" ht="15" hidden="false" customHeight="false" outlineLevel="0" collapsed="false">
      <c r="A139" s="5"/>
      <c r="B139" s="6"/>
      <c r="C139" s="6"/>
      <c r="D139" s="6"/>
      <c r="E139" s="7" t="str">
        <f aca="false">IF(D139="","",IFERROR(INDEX(Товары!$B$2:$B$200,MATCH(D139,Товары!$A$2:$A$200,0)),"нет в справочнике"))</f>
        <v/>
      </c>
      <c r="F139" s="6"/>
      <c r="G139" s="8" t="str">
        <f aca="false">IF(D139="","",IFERROR(INDEX(Товары!$C$2:$C$200,MATCH(D139,Товары!$A$2:$A$200,0)),0))</f>
        <v/>
      </c>
      <c r="H139" s="8" t="str">
        <f aca="false">IF(D139="","",F139*G139)</f>
        <v/>
      </c>
      <c r="I139" s="8" t="str">
        <f aca="false">IF(D139="","",F139*IFERROR(INDEX(Товары!$D$2:$D$200,MATCH(D139,Товары!$A$2:$A$200,0)),0))</f>
        <v/>
      </c>
      <c r="J139" s="8" t="str">
        <f aca="false">IF(D139="","",H139-I139)</f>
        <v/>
      </c>
      <c r="K139" s="7" t="str">
        <f aca="false">IF(A139="","",MONTH(A139))</f>
        <v/>
      </c>
      <c r="L139" s="7" t="str">
        <f aca="false">IF(A139="","",YEAR(A139))</f>
        <v/>
      </c>
      <c r="M139" s="9" t="str">
        <f aca="false">IF(B139="","",B139&amp;"|"&amp;COUNTIF(B$2:B139,B139))</f>
        <v/>
      </c>
    </row>
    <row r="140" customFormat="false" ht="15" hidden="false" customHeight="false" outlineLevel="0" collapsed="false">
      <c r="A140" s="5"/>
      <c r="B140" s="6"/>
      <c r="C140" s="6"/>
      <c r="D140" s="6"/>
      <c r="E140" s="7" t="str">
        <f aca="false">IF(D140="","",IFERROR(INDEX(Товары!$B$2:$B$200,MATCH(D140,Товары!$A$2:$A$200,0)),"нет в справочнике"))</f>
        <v/>
      </c>
      <c r="F140" s="6"/>
      <c r="G140" s="8" t="str">
        <f aca="false">IF(D140="","",IFERROR(INDEX(Товары!$C$2:$C$200,MATCH(D140,Товары!$A$2:$A$200,0)),0))</f>
        <v/>
      </c>
      <c r="H140" s="8" t="str">
        <f aca="false">IF(D140="","",F140*G140)</f>
        <v/>
      </c>
      <c r="I140" s="8" t="str">
        <f aca="false">IF(D140="","",F140*IFERROR(INDEX(Товары!$D$2:$D$200,MATCH(D140,Товары!$A$2:$A$200,0)),0))</f>
        <v/>
      </c>
      <c r="J140" s="8" t="str">
        <f aca="false">IF(D140="","",H140-I140)</f>
        <v/>
      </c>
      <c r="K140" s="7" t="str">
        <f aca="false">IF(A140="","",MONTH(A140))</f>
        <v/>
      </c>
      <c r="L140" s="7" t="str">
        <f aca="false">IF(A140="","",YEAR(A140))</f>
        <v/>
      </c>
      <c r="M140" s="9" t="str">
        <f aca="false">IF(B140="","",B140&amp;"|"&amp;COUNTIF(B$2:B140,B140))</f>
        <v/>
      </c>
    </row>
    <row r="141" customFormat="false" ht="15" hidden="false" customHeight="false" outlineLevel="0" collapsed="false">
      <c r="A141" s="5"/>
      <c r="B141" s="6"/>
      <c r="C141" s="6"/>
      <c r="D141" s="6"/>
      <c r="E141" s="7" t="str">
        <f aca="false">IF(D141="","",IFERROR(INDEX(Товары!$B$2:$B$200,MATCH(D141,Товары!$A$2:$A$200,0)),"нет в справочнике"))</f>
        <v/>
      </c>
      <c r="F141" s="6"/>
      <c r="G141" s="8" t="str">
        <f aca="false">IF(D141="","",IFERROR(INDEX(Товары!$C$2:$C$200,MATCH(D141,Товары!$A$2:$A$200,0)),0))</f>
        <v/>
      </c>
      <c r="H141" s="8" t="str">
        <f aca="false">IF(D141="","",F141*G141)</f>
        <v/>
      </c>
      <c r="I141" s="8" t="str">
        <f aca="false">IF(D141="","",F141*IFERROR(INDEX(Товары!$D$2:$D$200,MATCH(D141,Товары!$A$2:$A$200,0)),0))</f>
        <v/>
      </c>
      <c r="J141" s="8" t="str">
        <f aca="false">IF(D141="","",H141-I141)</f>
        <v/>
      </c>
      <c r="K141" s="7" t="str">
        <f aca="false">IF(A141="","",MONTH(A141))</f>
        <v/>
      </c>
      <c r="L141" s="7" t="str">
        <f aca="false">IF(A141="","",YEAR(A141))</f>
        <v/>
      </c>
      <c r="M141" s="9" t="str">
        <f aca="false">IF(B141="","",B141&amp;"|"&amp;COUNTIF(B$2:B141,B141))</f>
        <v/>
      </c>
    </row>
    <row r="142" customFormat="false" ht="15" hidden="false" customHeight="false" outlineLevel="0" collapsed="false">
      <c r="A142" s="5"/>
      <c r="B142" s="6"/>
      <c r="C142" s="6"/>
      <c r="D142" s="6"/>
      <c r="E142" s="7" t="str">
        <f aca="false">IF(D142="","",IFERROR(INDEX(Товары!$B$2:$B$200,MATCH(D142,Товары!$A$2:$A$200,0)),"нет в справочнике"))</f>
        <v/>
      </c>
      <c r="F142" s="6"/>
      <c r="G142" s="8" t="str">
        <f aca="false">IF(D142="","",IFERROR(INDEX(Товары!$C$2:$C$200,MATCH(D142,Товары!$A$2:$A$200,0)),0))</f>
        <v/>
      </c>
      <c r="H142" s="8" t="str">
        <f aca="false">IF(D142="","",F142*G142)</f>
        <v/>
      </c>
      <c r="I142" s="8" t="str">
        <f aca="false">IF(D142="","",F142*IFERROR(INDEX(Товары!$D$2:$D$200,MATCH(D142,Товары!$A$2:$A$200,0)),0))</f>
        <v/>
      </c>
      <c r="J142" s="8" t="str">
        <f aca="false">IF(D142="","",H142-I142)</f>
        <v/>
      </c>
      <c r="K142" s="7" t="str">
        <f aca="false">IF(A142="","",MONTH(A142))</f>
        <v/>
      </c>
      <c r="L142" s="7" t="str">
        <f aca="false">IF(A142="","",YEAR(A142))</f>
        <v/>
      </c>
      <c r="M142" s="9" t="str">
        <f aca="false">IF(B142="","",B142&amp;"|"&amp;COUNTIF(B$2:B142,B142))</f>
        <v/>
      </c>
    </row>
    <row r="143" customFormat="false" ht="15" hidden="false" customHeight="false" outlineLevel="0" collapsed="false">
      <c r="A143" s="5"/>
      <c r="B143" s="6"/>
      <c r="C143" s="6"/>
      <c r="D143" s="6"/>
      <c r="E143" s="7" t="str">
        <f aca="false">IF(D143="","",IFERROR(INDEX(Товары!$B$2:$B$200,MATCH(D143,Товары!$A$2:$A$200,0)),"нет в справочнике"))</f>
        <v/>
      </c>
      <c r="F143" s="6"/>
      <c r="G143" s="8" t="str">
        <f aca="false">IF(D143="","",IFERROR(INDEX(Товары!$C$2:$C$200,MATCH(D143,Товары!$A$2:$A$200,0)),0))</f>
        <v/>
      </c>
      <c r="H143" s="8" t="str">
        <f aca="false">IF(D143="","",F143*G143)</f>
        <v/>
      </c>
      <c r="I143" s="8" t="str">
        <f aca="false">IF(D143="","",F143*IFERROR(INDEX(Товары!$D$2:$D$200,MATCH(D143,Товары!$A$2:$A$200,0)),0))</f>
        <v/>
      </c>
      <c r="J143" s="8" t="str">
        <f aca="false">IF(D143="","",H143-I143)</f>
        <v/>
      </c>
      <c r="K143" s="7" t="str">
        <f aca="false">IF(A143="","",MONTH(A143))</f>
        <v/>
      </c>
      <c r="L143" s="7" t="str">
        <f aca="false">IF(A143="","",YEAR(A143))</f>
        <v/>
      </c>
      <c r="M143" s="9" t="str">
        <f aca="false">IF(B143="","",B143&amp;"|"&amp;COUNTIF(B$2:B143,B143))</f>
        <v/>
      </c>
    </row>
    <row r="144" customFormat="false" ht="15" hidden="false" customHeight="false" outlineLevel="0" collapsed="false">
      <c r="A144" s="5"/>
      <c r="B144" s="6"/>
      <c r="C144" s="6"/>
      <c r="D144" s="6"/>
      <c r="E144" s="7" t="str">
        <f aca="false">IF(D144="","",IFERROR(INDEX(Товары!$B$2:$B$200,MATCH(D144,Товары!$A$2:$A$200,0)),"нет в справочнике"))</f>
        <v/>
      </c>
      <c r="F144" s="6"/>
      <c r="G144" s="8" t="str">
        <f aca="false">IF(D144="","",IFERROR(INDEX(Товары!$C$2:$C$200,MATCH(D144,Товары!$A$2:$A$200,0)),0))</f>
        <v/>
      </c>
      <c r="H144" s="8" t="str">
        <f aca="false">IF(D144="","",F144*G144)</f>
        <v/>
      </c>
      <c r="I144" s="8" t="str">
        <f aca="false">IF(D144="","",F144*IFERROR(INDEX(Товары!$D$2:$D$200,MATCH(D144,Товары!$A$2:$A$200,0)),0))</f>
        <v/>
      </c>
      <c r="J144" s="8" t="str">
        <f aca="false">IF(D144="","",H144-I144)</f>
        <v/>
      </c>
      <c r="K144" s="7" t="str">
        <f aca="false">IF(A144="","",MONTH(A144))</f>
        <v/>
      </c>
      <c r="L144" s="7" t="str">
        <f aca="false">IF(A144="","",YEAR(A144))</f>
        <v/>
      </c>
      <c r="M144" s="9" t="str">
        <f aca="false">IF(B144="","",B144&amp;"|"&amp;COUNTIF(B$2:B144,B144))</f>
        <v/>
      </c>
    </row>
    <row r="145" customFormat="false" ht="15" hidden="false" customHeight="false" outlineLevel="0" collapsed="false">
      <c r="A145" s="5"/>
      <c r="B145" s="6"/>
      <c r="C145" s="6"/>
      <c r="D145" s="6"/>
      <c r="E145" s="7" t="str">
        <f aca="false">IF(D145="","",IFERROR(INDEX(Товары!$B$2:$B$200,MATCH(D145,Товары!$A$2:$A$200,0)),"нет в справочнике"))</f>
        <v/>
      </c>
      <c r="F145" s="6"/>
      <c r="G145" s="8" t="str">
        <f aca="false">IF(D145="","",IFERROR(INDEX(Товары!$C$2:$C$200,MATCH(D145,Товары!$A$2:$A$200,0)),0))</f>
        <v/>
      </c>
      <c r="H145" s="8" t="str">
        <f aca="false">IF(D145="","",F145*G145)</f>
        <v/>
      </c>
      <c r="I145" s="8" t="str">
        <f aca="false">IF(D145="","",F145*IFERROR(INDEX(Товары!$D$2:$D$200,MATCH(D145,Товары!$A$2:$A$200,0)),0))</f>
        <v/>
      </c>
      <c r="J145" s="8" t="str">
        <f aca="false">IF(D145="","",H145-I145)</f>
        <v/>
      </c>
      <c r="K145" s="7" t="str">
        <f aca="false">IF(A145="","",MONTH(A145))</f>
        <v/>
      </c>
      <c r="L145" s="7" t="str">
        <f aca="false">IF(A145="","",YEAR(A145))</f>
        <v/>
      </c>
      <c r="M145" s="9" t="str">
        <f aca="false">IF(B145="","",B145&amp;"|"&amp;COUNTIF(B$2:B145,B145))</f>
        <v/>
      </c>
    </row>
    <row r="146" customFormat="false" ht="15" hidden="false" customHeight="false" outlineLevel="0" collapsed="false">
      <c r="A146" s="5"/>
      <c r="B146" s="6"/>
      <c r="C146" s="6"/>
      <c r="D146" s="6"/>
      <c r="E146" s="7" t="str">
        <f aca="false">IF(D146="","",IFERROR(INDEX(Товары!$B$2:$B$200,MATCH(D146,Товары!$A$2:$A$200,0)),"нет в справочнике"))</f>
        <v/>
      </c>
      <c r="F146" s="6"/>
      <c r="G146" s="8" t="str">
        <f aca="false">IF(D146="","",IFERROR(INDEX(Товары!$C$2:$C$200,MATCH(D146,Товары!$A$2:$A$200,0)),0))</f>
        <v/>
      </c>
      <c r="H146" s="8" t="str">
        <f aca="false">IF(D146="","",F146*G146)</f>
        <v/>
      </c>
      <c r="I146" s="8" t="str">
        <f aca="false">IF(D146="","",F146*IFERROR(INDEX(Товары!$D$2:$D$200,MATCH(D146,Товары!$A$2:$A$200,0)),0))</f>
        <v/>
      </c>
      <c r="J146" s="8" t="str">
        <f aca="false">IF(D146="","",H146-I146)</f>
        <v/>
      </c>
      <c r="K146" s="7" t="str">
        <f aca="false">IF(A146="","",MONTH(A146))</f>
        <v/>
      </c>
      <c r="L146" s="7" t="str">
        <f aca="false">IF(A146="","",YEAR(A146))</f>
        <v/>
      </c>
      <c r="M146" s="9" t="str">
        <f aca="false">IF(B146="","",B146&amp;"|"&amp;COUNTIF(B$2:B146,B146))</f>
        <v/>
      </c>
    </row>
    <row r="147" customFormat="false" ht="15" hidden="false" customHeight="false" outlineLevel="0" collapsed="false">
      <c r="A147" s="5"/>
      <c r="B147" s="6"/>
      <c r="C147" s="6"/>
      <c r="D147" s="6"/>
      <c r="E147" s="7" t="str">
        <f aca="false">IF(D147="","",IFERROR(INDEX(Товары!$B$2:$B$200,MATCH(D147,Товары!$A$2:$A$200,0)),"нет в справочнике"))</f>
        <v/>
      </c>
      <c r="F147" s="6"/>
      <c r="G147" s="8" t="str">
        <f aca="false">IF(D147="","",IFERROR(INDEX(Товары!$C$2:$C$200,MATCH(D147,Товары!$A$2:$A$200,0)),0))</f>
        <v/>
      </c>
      <c r="H147" s="8" t="str">
        <f aca="false">IF(D147="","",F147*G147)</f>
        <v/>
      </c>
      <c r="I147" s="8" t="str">
        <f aca="false">IF(D147="","",F147*IFERROR(INDEX(Товары!$D$2:$D$200,MATCH(D147,Товары!$A$2:$A$200,0)),0))</f>
        <v/>
      </c>
      <c r="J147" s="8" t="str">
        <f aca="false">IF(D147="","",H147-I147)</f>
        <v/>
      </c>
      <c r="K147" s="7" t="str">
        <f aca="false">IF(A147="","",MONTH(A147))</f>
        <v/>
      </c>
      <c r="L147" s="7" t="str">
        <f aca="false">IF(A147="","",YEAR(A147))</f>
        <v/>
      </c>
      <c r="M147" s="9" t="str">
        <f aca="false">IF(B147="","",B147&amp;"|"&amp;COUNTIF(B$2:B147,B147))</f>
        <v/>
      </c>
    </row>
    <row r="148" customFormat="false" ht="15" hidden="false" customHeight="false" outlineLevel="0" collapsed="false">
      <c r="A148" s="5"/>
      <c r="B148" s="6"/>
      <c r="C148" s="6"/>
      <c r="D148" s="6"/>
      <c r="E148" s="7" t="str">
        <f aca="false">IF(D148="","",IFERROR(INDEX(Товары!$B$2:$B$200,MATCH(D148,Товары!$A$2:$A$200,0)),"нет в справочнике"))</f>
        <v/>
      </c>
      <c r="F148" s="6"/>
      <c r="G148" s="8" t="str">
        <f aca="false">IF(D148="","",IFERROR(INDEX(Товары!$C$2:$C$200,MATCH(D148,Товары!$A$2:$A$200,0)),0))</f>
        <v/>
      </c>
      <c r="H148" s="8" t="str">
        <f aca="false">IF(D148="","",F148*G148)</f>
        <v/>
      </c>
      <c r="I148" s="8" t="str">
        <f aca="false">IF(D148="","",F148*IFERROR(INDEX(Товары!$D$2:$D$200,MATCH(D148,Товары!$A$2:$A$200,0)),0))</f>
        <v/>
      </c>
      <c r="J148" s="8" t="str">
        <f aca="false">IF(D148="","",H148-I148)</f>
        <v/>
      </c>
      <c r="K148" s="7" t="str">
        <f aca="false">IF(A148="","",MONTH(A148))</f>
        <v/>
      </c>
      <c r="L148" s="7" t="str">
        <f aca="false">IF(A148="","",YEAR(A148))</f>
        <v/>
      </c>
      <c r="M148" s="9" t="str">
        <f aca="false">IF(B148="","",B148&amp;"|"&amp;COUNTIF(B$2:B148,B148))</f>
        <v/>
      </c>
    </row>
    <row r="149" customFormat="false" ht="15" hidden="false" customHeight="false" outlineLevel="0" collapsed="false">
      <c r="A149" s="5"/>
      <c r="B149" s="6"/>
      <c r="C149" s="6"/>
      <c r="D149" s="6"/>
      <c r="E149" s="7" t="str">
        <f aca="false">IF(D149="","",IFERROR(INDEX(Товары!$B$2:$B$200,MATCH(D149,Товары!$A$2:$A$200,0)),"нет в справочнике"))</f>
        <v/>
      </c>
      <c r="F149" s="6"/>
      <c r="G149" s="8" t="str">
        <f aca="false">IF(D149="","",IFERROR(INDEX(Товары!$C$2:$C$200,MATCH(D149,Товары!$A$2:$A$200,0)),0))</f>
        <v/>
      </c>
      <c r="H149" s="8" t="str">
        <f aca="false">IF(D149="","",F149*G149)</f>
        <v/>
      </c>
      <c r="I149" s="8" t="str">
        <f aca="false">IF(D149="","",F149*IFERROR(INDEX(Товары!$D$2:$D$200,MATCH(D149,Товары!$A$2:$A$200,0)),0))</f>
        <v/>
      </c>
      <c r="J149" s="8" t="str">
        <f aca="false">IF(D149="","",H149-I149)</f>
        <v/>
      </c>
      <c r="K149" s="7" t="str">
        <f aca="false">IF(A149="","",MONTH(A149))</f>
        <v/>
      </c>
      <c r="L149" s="7" t="str">
        <f aca="false">IF(A149="","",YEAR(A149))</f>
        <v/>
      </c>
      <c r="M149" s="9" t="str">
        <f aca="false">IF(B149="","",B149&amp;"|"&amp;COUNTIF(B$2:B149,B149))</f>
        <v/>
      </c>
    </row>
    <row r="150" customFormat="false" ht="15" hidden="false" customHeight="false" outlineLevel="0" collapsed="false">
      <c r="A150" s="5"/>
      <c r="B150" s="6"/>
      <c r="C150" s="6"/>
      <c r="D150" s="6"/>
      <c r="E150" s="7" t="str">
        <f aca="false">IF(D150="","",IFERROR(INDEX(Товары!$B$2:$B$200,MATCH(D150,Товары!$A$2:$A$200,0)),"нет в справочнике"))</f>
        <v/>
      </c>
      <c r="F150" s="6"/>
      <c r="G150" s="8" t="str">
        <f aca="false">IF(D150="","",IFERROR(INDEX(Товары!$C$2:$C$200,MATCH(D150,Товары!$A$2:$A$200,0)),0))</f>
        <v/>
      </c>
      <c r="H150" s="8" t="str">
        <f aca="false">IF(D150="","",F150*G150)</f>
        <v/>
      </c>
      <c r="I150" s="8" t="str">
        <f aca="false">IF(D150="","",F150*IFERROR(INDEX(Товары!$D$2:$D$200,MATCH(D150,Товары!$A$2:$A$200,0)),0))</f>
        <v/>
      </c>
      <c r="J150" s="8" t="str">
        <f aca="false">IF(D150="","",H150-I150)</f>
        <v/>
      </c>
      <c r="K150" s="7" t="str">
        <f aca="false">IF(A150="","",MONTH(A150))</f>
        <v/>
      </c>
      <c r="L150" s="7" t="str">
        <f aca="false">IF(A150="","",YEAR(A150))</f>
        <v/>
      </c>
      <c r="M150" s="9" t="str">
        <f aca="false">IF(B150="","",B150&amp;"|"&amp;COUNTIF(B$2:B150,B150))</f>
        <v/>
      </c>
    </row>
    <row r="151" customFormat="false" ht="15" hidden="false" customHeight="false" outlineLevel="0" collapsed="false">
      <c r="A151" s="5"/>
      <c r="B151" s="6"/>
      <c r="C151" s="6"/>
      <c r="D151" s="6"/>
      <c r="E151" s="7" t="str">
        <f aca="false">IF(D151="","",IFERROR(INDEX(Товары!$B$2:$B$200,MATCH(D151,Товары!$A$2:$A$200,0)),"нет в справочнике"))</f>
        <v/>
      </c>
      <c r="F151" s="6"/>
      <c r="G151" s="8" t="str">
        <f aca="false">IF(D151="","",IFERROR(INDEX(Товары!$C$2:$C$200,MATCH(D151,Товары!$A$2:$A$200,0)),0))</f>
        <v/>
      </c>
      <c r="H151" s="8" t="str">
        <f aca="false">IF(D151="","",F151*G151)</f>
        <v/>
      </c>
      <c r="I151" s="8" t="str">
        <f aca="false">IF(D151="","",F151*IFERROR(INDEX(Товары!$D$2:$D$200,MATCH(D151,Товары!$A$2:$A$200,0)),0))</f>
        <v/>
      </c>
      <c r="J151" s="8" t="str">
        <f aca="false">IF(D151="","",H151-I151)</f>
        <v/>
      </c>
      <c r="K151" s="7" t="str">
        <f aca="false">IF(A151="","",MONTH(A151))</f>
        <v/>
      </c>
      <c r="L151" s="7" t="str">
        <f aca="false">IF(A151="","",YEAR(A151))</f>
        <v/>
      </c>
      <c r="M151" s="9" t="str">
        <f aca="false">IF(B151="","",B151&amp;"|"&amp;COUNTIF(B$2:B151,B151))</f>
        <v/>
      </c>
    </row>
    <row r="152" customFormat="false" ht="15" hidden="false" customHeight="false" outlineLevel="0" collapsed="false">
      <c r="A152" s="5"/>
      <c r="B152" s="6"/>
      <c r="C152" s="6"/>
      <c r="D152" s="6"/>
      <c r="E152" s="7" t="str">
        <f aca="false">IF(D152="","",IFERROR(INDEX(Товары!$B$2:$B$200,MATCH(D152,Товары!$A$2:$A$200,0)),"нет в справочнике"))</f>
        <v/>
      </c>
      <c r="F152" s="6"/>
      <c r="G152" s="8" t="str">
        <f aca="false">IF(D152="","",IFERROR(INDEX(Товары!$C$2:$C$200,MATCH(D152,Товары!$A$2:$A$200,0)),0))</f>
        <v/>
      </c>
      <c r="H152" s="8" t="str">
        <f aca="false">IF(D152="","",F152*G152)</f>
        <v/>
      </c>
      <c r="I152" s="8" t="str">
        <f aca="false">IF(D152="","",F152*IFERROR(INDEX(Товары!$D$2:$D$200,MATCH(D152,Товары!$A$2:$A$200,0)),0))</f>
        <v/>
      </c>
      <c r="J152" s="8" t="str">
        <f aca="false">IF(D152="","",H152-I152)</f>
        <v/>
      </c>
      <c r="K152" s="7" t="str">
        <f aca="false">IF(A152="","",MONTH(A152))</f>
        <v/>
      </c>
      <c r="L152" s="7" t="str">
        <f aca="false">IF(A152="","",YEAR(A152))</f>
        <v/>
      </c>
      <c r="M152" s="9" t="str">
        <f aca="false">IF(B152="","",B152&amp;"|"&amp;COUNTIF(B$2:B152,B152))</f>
        <v/>
      </c>
    </row>
    <row r="153" customFormat="false" ht="15" hidden="false" customHeight="false" outlineLevel="0" collapsed="false">
      <c r="A153" s="5"/>
      <c r="B153" s="6"/>
      <c r="C153" s="6"/>
      <c r="D153" s="6"/>
      <c r="E153" s="7" t="str">
        <f aca="false">IF(D153="","",IFERROR(INDEX(Товары!$B$2:$B$200,MATCH(D153,Товары!$A$2:$A$200,0)),"нет в справочнике"))</f>
        <v/>
      </c>
      <c r="F153" s="6"/>
      <c r="G153" s="8" t="str">
        <f aca="false">IF(D153="","",IFERROR(INDEX(Товары!$C$2:$C$200,MATCH(D153,Товары!$A$2:$A$200,0)),0))</f>
        <v/>
      </c>
      <c r="H153" s="8" t="str">
        <f aca="false">IF(D153="","",F153*G153)</f>
        <v/>
      </c>
      <c r="I153" s="8" t="str">
        <f aca="false">IF(D153="","",F153*IFERROR(INDEX(Товары!$D$2:$D$200,MATCH(D153,Товары!$A$2:$A$200,0)),0))</f>
        <v/>
      </c>
      <c r="J153" s="8" t="str">
        <f aca="false">IF(D153="","",H153-I153)</f>
        <v/>
      </c>
      <c r="K153" s="7" t="str">
        <f aca="false">IF(A153="","",MONTH(A153))</f>
        <v/>
      </c>
      <c r="L153" s="7" t="str">
        <f aca="false">IF(A153="","",YEAR(A153))</f>
        <v/>
      </c>
      <c r="M153" s="9" t="str">
        <f aca="false">IF(B153="","",B153&amp;"|"&amp;COUNTIF(B$2:B153,B153))</f>
        <v/>
      </c>
    </row>
    <row r="154" customFormat="false" ht="15" hidden="false" customHeight="false" outlineLevel="0" collapsed="false">
      <c r="A154" s="5"/>
      <c r="B154" s="6"/>
      <c r="C154" s="6"/>
      <c r="D154" s="6"/>
      <c r="E154" s="7" t="str">
        <f aca="false">IF(D154="","",IFERROR(INDEX(Товары!$B$2:$B$200,MATCH(D154,Товары!$A$2:$A$200,0)),"нет в справочнике"))</f>
        <v/>
      </c>
      <c r="F154" s="6"/>
      <c r="G154" s="8" t="str">
        <f aca="false">IF(D154="","",IFERROR(INDEX(Товары!$C$2:$C$200,MATCH(D154,Товары!$A$2:$A$200,0)),0))</f>
        <v/>
      </c>
      <c r="H154" s="8" t="str">
        <f aca="false">IF(D154="","",F154*G154)</f>
        <v/>
      </c>
      <c r="I154" s="8" t="str">
        <f aca="false">IF(D154="","",F154*IFERROR(INDEX(Товары!$D$2:$D$200,MATCH(D154,Товары!$A$2:$A$200,0)),0))</f>
        <v/>
      </c>
      <c r="J154" s="8" t="str">
        <f aca="false">IF(D154="","",H154-I154)</f>
        <v/>
      </c>
      <c r="K154" s="7" t="str">
        <f aca="false">IF(A154="","",MONTH(A154))</f>
        <v/>
      </c>
      <c r="L154" s="7" t="str">
        <f aca="false">IF(A154="","",YEAR(A154))</f>
        <v/>
      </c>
      <c r="M154" s="9" t="str">
        <f aca="false">IF(B154="","",B154&amp;"|"&amp;COUNTIF(B$2:B154,B154))</f>
        <v/>
      </c>
    </row>
    <row r="155" customFormat="false" ht="15" hidden="false" customHeight="false" outlineLevel="0" collapsed="false">
      <c r="A155" s="5"/>
      <c r="B155" s="6"/>
      <c r="C155" s="6"/>
      <c r="D155" s="6"/>
      <c r="E155" s="7" t="str">
        <f aca="false">IF(D155="","",IFERROR(INDEX(Товары!$B$2:$B$200,MATCH(D155,Товары!$A$2:$A$200,0)),"нет в справочнике"))</f>
        <v/>
      </c>
      <c r="F155" s="6"/>
      <c r="G155" s="8" t="str">
        <f aca="false">IF(D155="","",IFERROR(INDEX(Товары!$C$2:$C$200,MATCH(D155,Товары!$A$2:$A$200,0)),0))</f>
        <v/>
      </c>
      <c r="H155" s="8" t="str">
        <f aca="false">IF(D155="","",F155*G155)</f>
        <v/>
      </c>
      <c r="I155" s="8" t="str">
        <f aca="false">IF(D155="","",F155*IFERROR(INDEX(Товары!$D$2:$D$200,MATCH(D155,Товары!$A$2:$A$200,0)),0))</f>
        <v/>
      </c>
      <c r="J155" s="8" t="str">
        <f aca="false">IF(D155="","",H155-I155)</f>
        <v/>
      </c>
      <c r="K155" s="7" t="str">
        <f aca="false">IF(A155="","",MONTH(A155))</f>
        <v/>
      </c>
      <c r="L155" s="7" t="str">
        <f aca="false">IF(A155="","",YEAR(A155))</f>
        <v/>
      </c>
      <c r="M155" s="9" t="str">
        <f aca="false">IF(B155="","",B155&amp;"|"&amp;COUNTIF(B$2:B155,B155))</f>
        <v/>
      </c>
    </row>
    <row r="156" customFormat="false" ht="15" hidden="false" customHeight="false" outlineLevel="0" collapsed="false">
      <c r="A156" s="5"/>
      <c r="B156" s="6"/>
      <c r="C156" s="6"/>
      <c r="D156" s="6"/>
      <c r="E156" s="7" t="str">
        <f aca="false">IF(D156="","",IFERROR(INDEX(Товары!$B$2:$B$200,MATCH(D156,Товары!$A$2:$A$200,0)),"нет в справочнике"))</f>
        <v/>
      </c>
      <c r="F156" s="6"/>
      <c r="G156" s="8" t="str">
        <f aca="false">IF(D156="","",IFERROR(INDEX(Товары!$C$2:$C$200,MATCH(D156,Товары!$A$2:$A$200,0)),0))</f>
        <v/>
      </c>
      <c r="H156" s="8" t="str">
        <f aca="false">IF(D156="","",F156*G156)</f>
        <v/>
      </c>
      <c r="I156" s="8" t="str">
        <f aca="false">IF(D156="","",F156*IFERROR(INDEX(Товары!$D$2:$D$200,MATCH(D156,Товары!$A$2:$A$200,0)),0))</f>
        <v/>
      </c>
      <c r="J156" s="8" t="str">
        <f aca="false">IF(D156="","",H156-I156)</f>
        <v/>
      </c>
      <c r="K156" s="7" t="str">
        <f aca="false">IF(A156="","",MONTH(A156))</f>
        <v/>
      </c>
      <c r="L156" s="7" t="str">
        <f aca="false">IF(A156="","",YEAR(A156))</f>
        <v/>
      </c>
      <c r="M156" s="9" t="str">
        <f aca="false">IF(B156="","",B156&amp;"|"&amp;COUNTIF(B$2:B156,B156))</f>
        <v/>
      </c>
    </row>
    <row r="157" customFormat="false" ht="15" hidden="false" customHeight="false" outlineLevel="0" collapsed="false">
      <c r="A157" s="5"/>
      <c r="B157" s="6"/>
      <c r="C157" s="6"/>
      <c r="D157" s="6"/>
      <c r="E157" s="7" t="str">
        <f aca="false">IF(D157="","",IFERROR(INDEX(Товары!$B$2:$B$200,MATCH(D157,Товары!$A$2:$A$200,0)),"нет в справочнике"))</f>
        <v/>
      </c>
      <c r="F157" s="6"/>
      <c r="G157" s="8" t="str">
        <f aca="false">IF(D157="","",IFERROR(INDEX(Товары!$C$2:$C$200,MATCH(D157,Товары!$A$2:$A$200,0)),0))</f>
        <v/>
      </c>
      <c r="H157" s="8" t="str">
        <f aca="false">IF(D157="","",F157*G157)</f>
        <v/>
      </c>
      <c r="I157" s="8" t="str">
        <f aca="false">IF(D157="","",F157*IFERROR(INDEX(Товары!$D$2:$D$200,MATCH(D157,Товары!$A$2:$A$200,0)),0))</f>
        <v/>
      </c>
      <c r="J157" s="8" t="str">
        <f aca="false">IF(D157="","",H157-I157)</f>
        <v/>
      </c>
      <c r="K157" s="7" t="str">
        <f aca="false">IF(A157="","",MONTH(A157))</f>
        <v/>
      </c>
      <c r="L157" s="7" t="str">
        <f aca="false">IF(A157="","",YEAR(A157))</f>
        <v/>
      </c>
      <c r="M157" s="9" t="str">
        <f aca="false">IF(B157="","",B157&amp;"|"&amp;COUNTIF(B$2:B157,B157))</f>
        <v/>
      </c>
    </row>
    <row r="158" customFormat="false" ht="15" hidden="false" customHeight="false" outlineLevel="0" collapsed="false">
      <c r="A158" s="5"/>
      <c r="B158" s="6"/>
      <c r="C158" s="6"/>
      <c r="D158" s="6"/>
      <c r="E158" s="7" t="str">
        <f aca="false">IF(D158="","",IFERROR(INDEX(Товары!$B$2:$B$200,MATCH(D158,Товары!$A$2:$A$200,0)),"нет в справочнике"))</f>
        <v/>
      </c>
      <c r="F158" s="6"/>
      <c r="G158" s="8" t="str">
        <f aca="false">IF(D158="","",IFERROR(INDEX(Товары!$C$2:$C$200,MATCH(D158,Товары!$A$2:$A$200,0)),0))</f>
        <v/>
      </c>
      <c r="H158" s="8" t="str">
        <f aca="false">IF(D158="","",F158*G158)</f>
        <v/>
      </c>
      <c r="I158" s="8" t="str">
        <f aca="false">IF(D158="","",F158*IFERROR(INDEX(Товары!$D$2:$D$200,MATCH(D158,Товары!$A$2:$A$200,0)),0))</f>
        <v/>
      </c>
      <c r="J158" s="8" t="str">
        <f aca="false">IF(D158="","",H158-I158)</f>
        <v/>
      </c>
      <c r="K158" s="7" t="str">
        <f aca="false">IF(A158="","",MONTH(A158))</f>
        <v/>
      </c>
      <c r="L158" s="7" t="str">
        <f aca="false">IF(A158="","",YEAR(A158))</f>
        <v/>
      </c>
      <c r="M158" s="9" t="str">
        <f aca="false">IF(B158="","",B158&amp;"|"&amp;COUNTIF(B$2:B158,B158))</f>
        <v/>
      </c>
    </row>
    <row r="159" customFormat="false" ht="15" hidden="false" customHeight="false" outlineLevel="0" collapsed="false">
      <c r="A159" s="5"/>
      <c r="B159" s="6"/>
      <c r="C159" s="6"/>
      <c r="D159" s="6"/>
      <c r="E159" s="7" t="str">
        <f aca="false">IF(D159="","",IFERROR(INDEX(Товары!$B$2:$B$200,MATCH(D159,Товары!$A$2:$A$200,0)),"нет в справочнике"))</f>
        <v/>
      </c>
      <c r="F159" s="6"/>
      <c r="G159" s="8" t="str">
        <f aca="false">IF(D159="","",IFERROR(INDEX(Товары!$C$2:$C$200,MATCH(D159,Товары!$A$2:$A$200,0)),0))</f>
        <v/>
      </c>
      <c r="H159" s="8" t="str">
        <f aca="false">IF(D159="","",F159*G159)</f>
        <v/>
      </c>
      <c r="I159" s="8" t="str">
        <f aca="false">IF(D159="","",F159*IFERROR(INDEX(Товары!$D$2:$D$200,MATCH(D159,Товары!$A$2:$A$200,0)),0))</f>
        <v/>
      </c>
      <c r="J159" s="8" t="str">
        <f aca="false">IF(D159="","",H159-I159)</f>
        <v/>
      </c>
      <c r="K159" s="7" t="str">
        <f aca="false">IF(A159="","",MONTH(A159))</f>
        <v/>
      </c>
      <c r="L159" s="7" t="str">
        <f aca="false">IF(A159="","",YEAR(A159))</f>
        <v/>
      </c>
      <c r="M159" s="9" t="str">
        <f aca="false">IF(B159="","",B159&amp;"|"&amp;COUNTIF(B$2:B159,B159))</f>
        <v/>
      </c>
    </row>
    <row r="160" customFormat="false" ht="15" hidden="false" customHeight="false" outlineLevel="0" collapsed="false">
      <c r="A160" s="5"/>
      <c r="B160" s="6"/>
      <c r="C160" s="6"/>
      <c r="D160" s="6"/>
      <c r="E160" s="7" t="str">
        <f aca="false">IF(D160="","",IFERROR(INDEX(Товары!$B$2:$B$200,MATCH(D160,Товары!$A$2:$A$200,0)),"нет в справочнике"))</f>
        <v/>
      </c>
      <c r="F160" s="6"/>
      <c r="G160" s="8" t="str">
        <f aca="false">IF(D160="","",IFERROR(INDEX(Товары!$C$2:$C$200,MATCH(D160,Товары!$A$2:$A$200,0)),0))</f>
        <v/>
      </c>
      <c r="H160" s="8" t="str">
        <f aca="false">IF(D160="","",F160*G160)</f>
        <v/>
      </c>
      <c r="I160" s="8" t="str">
        <f aca="false">IF(D160="","",F160*IFERROR(INDEX(Товары!$D$2:$D$200,MATCH(D160,Товары!$A$2:$A$200,0)),0))</f>
        <v/>
      </c>
      <c r="J160" s="8" t="str">
        <f aca="false">IF(D160="","",H160-I160)</f>
        <v/>
      </c>
      <c r="K160" s="7" t="str">
        <f aca="false">IF(A160="","",MONTH(A160))</f>
        <v/>
      </c>
      <c r="L160" s="7" t="str">
        <f aca="false">IF(A160="","",YEAR(A160))</f>
        <v/>
      </c>
      <c r="M160" s="9" t="str">
        <f aca="false">IF(B160="","",B160&amp;"|"&amp;COUNTIF(B$2:B160,B160))</f>
        <v/>
      </c>
    </row>
    <row r="161" customFormat="false" ht="15" hidden="false" customHeight="false" outlineLevel="0" collapsed="false">
      <c r="A161" s="5"/>
      <c r="B161" s="6"/>
      <c r="C161" s="6"/>
      <c r="D161" s="6"/>
      <c r="E161" s="7" t="str">
        <f aca="false">IF(D161="","",IFERROR(INDEX(Товары!$B$2:$B$200,MATCH(D161,Товары!$A$2:$A$200,0)),"нет в справочнике"))</f>
        <v/>
      </c>
      <c r="F161" s="6"/>
      <c r="G161" s="8" t="str">
        <f aca="false">IF(D161="","",IFERROR(INDEX(Товары!$C$2:$C$200,MATCH(D161,Товары!$A$2:$A$200,0)),0))</f>
        <v/>
      </c>
      <c r="H161" s="8" t="str">
        <f aca="false">IF(D161="","",F161*G161)</f>
        <v/>
      </c>
      <c r="I161" s="8" t="str">
        <f aca="false">IF(D161="","",F161*IFERROR(INDEX(Товары!$D$2:$D$200,MATCH(D161,Товары!$A$2:$A$200,0)),0))</f>
        <v/>
      </c>
      <c r="J161" s="8" t="str">
        <f aca="false">IF(D161="","",H161-I161)</f>
        <v/>
      </c>
      <c r="K161" s="7" t="str">
        <f aca="false">IF(A161="","",MONTH(A161))</f>
        <v/>
      </c>
      <c r="L161" s="7" t="str">
        <f aca="false">IF(A161="","",YEAR(A161))</f>
        <v/>
      </c>
      <c r="M161" s="9" t="str">
        <f aca="false">IF(B161="","",B161&amp;"|"&amp;COUNTIF(B$2:B161,B161))</f>
        <v/>
      </c>
    </row>
    <row r="162" customFormat="false" ht="15" hidden="false" customHeight="false" outlineLevel="0" collapsed="false">
      <c r="A162" s="5"/>
      <c r="B162" s="6"/>
      <c r="C162" s="6"/>
      <c r="D162" s="6"/>
      <c r="E162" s="7" t="str">
        <f aca="false">IF(D162="","",IFERROR(INDEX(Товары!$B$2:$B$200,MATCH(D162,Товары!$A$2:$A$200,0)),"нет в справочнике"))</f>
        <v/>
      </c>
      <c r="F162" s="6"/>
      <c r="G162" s="8" t="str">
        <f aca="false">IF(D162="","",IFERROR(INDEX(Товары!$C$2:$C$200,MATCH(D162,Товары!$A$2:$A$200,0)),0))</f>
        <v/>
      </c>
      <c r="H162" s="8" t="str">
        <f aca="false">IF(D162="","",F162*G162)</f>
        <v/>
      </c>
      <c r="I162" s="8" t="str">
        <f aca="false">IF(D162="","",F162*IFERROR(INDEX(Товары!$D$2:$D$200,MATCH(D162,Товары!$A$2:$A$200,0)),0))</f>
        <v/>
      </c>
      <c r="J162" s="8" t="str">
        <f aca="false">IF(D162="","",H162-I162)</f>
        <v/>
      </c>
      <c r="K162" s="7" t="str">
        <f aca="false">IF(A162="","",MONTH(A162))</f>
        <v/>
      </c>
      <c r="L162" s="7" t="str">
        <f aca="false">IF(A162="","",YEAR(A162))</f>
        <v/>
      </c>
      <c r="M162" s="9" t="str">
        <f aca="false">IF(B162="","",B162&amp;"|"&amp;COUNTIF(B$2:B162,B162))</f>
        <v/>
      </c>
    </row>
    <row r="163" customFormat="false" ht="15" hidden="false" customHeight="false" outlineLevel="0" collapsed="false">
      <c r="A163" s="5"/>
      <c r="B163" s="6"/>
      <c r="C163" s="6"/>
      <c r="D163" s="6"/>
      <c r="E163" s="7" t="str">
        <f aca="false">IF(D163="","",IFERROR(INDEX(Товары!$B$2:$B$200,MATCH(D163,Товары!$A$2:$A$200,0)),"нет в справочнике"))</f>
        <v/>
      </c>
      <c r="F163" s="6"/>
      <c r="G163" s="8" t="str">
        <f aca="false">IF(D163="","",IFERROR(INDEX(Товары!$C$2:$C$200,MATCH(D163,Товары!$A$2:$A$200,0)),0))</f>
        <v/>
      </c>
      <c r="H163" s="8" t="str">
        <f aca="false">IF(D163="","",F163*G163)</f>
        <v/>
      </c>
      <c r="I163" s="8" t="str">
        <f aca="false">IF(D163="","",F163*IFERROR(INDEX(Товары!$D$2:$D$200,MATCH(D163,Товары!$A$2:$A$200,0)),0))</f>
        <v/>
      </c>
      <c r="J163" s="8" t="str">
        <f aca="false">IF(D163="","",H163-I163)</f>
        <v/>
      </c>
      <c r="K163" s="7" t="str">
        <f aca="false">IF(A163="","",MONTH(A163))</f>
        <v/>
      </c>
      <c r="L163" s="7" t="str">
        <f aca="false">IF(A163="","",YEAR(A163))</f>
        <v/>
      </c>
      <c r="M163" s="9" t="str">
        <f aca="false">IF(B163="","",B163&amp;"|"&amp;COUNTIF(B$2:B163,B163))</f>
        <v/>
      </c>
    </row>
    <row r="164" customFormat="false" ht="15" hidden="false" customHeight="false" outlineLevel="0" collapsed="false">
      <c r="A164" s="5"/>
      <c r="B164" s="6"/>
      <c r="C164" s="6"/>
      <c r="D164" s="6"/>
      <c r="E164" s="7" t="str">
        <f aca="false">IF(D164="","",IFERROR(INDEX(Товары!$B$2:$B$200,MATCH(D164,Товары!$A$2:$A$200,0)),"нет в справочнике"))</f>
        <v/>
      </c>
      <c r="F164" s="6"/>
      <c r="G164" s="8" t="str">
        <f aca="false">IF(D164="","",IFERROR(INDEX(Товары!$C$2:$C$200,MATCH(D164,Товары!$A$2:$A$200,0)),0))</f>
        <v/>
      </c>
      <c r="H164" s="8" t="str">
        <f aca="false">IF(D164="","",F164*G164)</f>
        <v/>
      </c>
      <c r="I164" s="8" t="str">
        <f aca="false">IF(D164="","",F164*IFERROR(INDEX(Товары!$D$2:$D$200,MATCH(D164,Товары!$A$2:$A$200,0)),0))</f>
        <v/>
      </c>
      <c r="J164" s="8" t="str">
        <f aca="false">IF(D164="","",H164-I164)</f>
        <v/>
      </c>
      <c r="K164" s="7" t="str">
        <f aca="false">IF(A164="","",MONTH(A164))</f>
        <v/>
      </c>
      <c r="L164" s="7" t="str">
        <f aca="false">IF(A164="","",YEAR(A164))</f>
        <v/>
      </c>
      <c r="M164" s="9" t="str">
        <f aca="false">IF(B164="","",B164&amp;"|"&amp;COUNTIF(B$2:B164,B164))</f>
        <v/>
      </c>
    </row>
    <row r="165" customFormat="false" ht="15" hidden="false" customHeight="false" outlineLevel="0" collapsed="false">
      <c r="A165" s="5"/>
      <c r="B165" s="6"/>
      <c r="C165" s="6"/>
      <c r="D165" s="6"/>
      <c r="E165" s="7" t="str">
        <f aca="false">IF(D165="","",IFERROR(INDEX(Товары!$B$2:$B$200,MATCH(D165,Товары!$A$2:$A$200,0)),"нет в справочнике"))</f>
        <v/>
      </c>
      <c r="F165" s="6"/>
      <c r="G165" s="8" t="str">
        <f aca="false">IF(D165="","",IFERROR(INDEX(Товары!$C$2:$C$200,MATCH(D165,Товары!$A$2:$A$200,0)),0))</f>
        <v/>
      </c>
      <c r="H165" s="8" t="str">
        <f aca="false">IF(D165="","",F165*G165)</f>
        <v/>
      </c>
      <c r="I165" s="8" t="str">
        <f aca="false">IF(D165="","",F165*IFERROR(INDEX(Товары!$D$2:$D$200,MATCH(D165,Товары!$A$2:$A$200,0)),0))</f>
        <v/>
      </c>
      <c r="J165" s="8" t="str">
        <f aca="false">IF(D165="","",H165-I165)</f>
        <v/>
      </c>
      <c r="K165" s="7" t="str">
        <f aca="false">IF(A165="","",MONTH(A165))</f>
        <v/>
      </c>
      <c r="L165" s="7" t="str">
        <f aca="false">IF(A165="","",YEAR(A165))</f>
        <v/>
      </c>
      <c r="M165" s="9" t="str">
        <f aca="false">IF(B165="","",B165&amp;"|"&amp;COUNTIF(B$2:B165,B165))</f>
        <v/>
      </c>
    </row>
    <row r="166" customFormat="false" ht="15" hidden="false" customHeight="false" outlineLevel="0" collapsed="false">
      <c r="A166" s="5"/>
      <c r="B166" s="6"/>
      <c r="C166" s="6"/>
      <c r="D166" s="6"/>
      <c r="E166" s="7" t="str">
        <f aca="false">IF(D166="","",IFERROR(INDEX(Товары!$B$2:$B$200,MATCH(D166,Товары!$A$2:$A$200,0)),"нет в справочнике"))</f>
        <v/>
      </c>
      <c r="F166" s="6"/>
      <c r="G166" s="8" t="str">
        <f aca="false">IF(D166="","",IFERROR(INDEX(Товары!$C$2:$C$200,MATCH(D166,Товары!$A$2:$A$200,0)),0))</f>
        <v/>
      </c>
      <c r="H166" s="8" t="str">
        <f aca="false">IF(D166="","",F166*G166)</f>
        <v/>
      </c>
      <c r="I166" s="8" t="str">
        <f aca="false">IF(D166="","",F166*IFERROR(INDEX(Товары!$D$2:$D$200,MATCH(D166,Товары!$A$2:$A$200,0)),0))</f>
        <v/>
      </c>
      <c r="J166" s="8" t="str">
        <f aca="false">IF(D166="","",H166-I166)</f>
        <v/>
      </c>
      <c r="K166" s="7" t="str">
        <f aca="false">IF(A166="","",MONTH(A166))</f>
        <v/>
      </c>
      <c r="L166" s="7" t="str">
        <f aca="false">IF(A166="","",YEAR(A166))</f>
        <v/>
      </c>
      <c r="M166" s="9" t="str">
        <f aca="false">IF(B166="","",B166&amp;"|"&amp;COUNTIF(B$2:B166,B166))</f>
        <v/>
      </c>
    </row>
    <row r="167" customFormat="false" ht="15" hidden="false" customHeight="false" outlineLevel="0" collapsed="false">
      <c r="A167" s="5"/>
      <c r="B167" s="6"/>
      <c r="C167" s="6"/>
      <c r="D167" s="6"/>
      <c r="E167" s="7" t="str">
        <f aca="false">IF(D167="","",IFERROR(INDEX(Товары!$B$2:$B$200,MATCH(D167,Товары!$A$2:$A$200,0)),"нет в справочнике"))</f>
        <v/>
      </c>
      <c r="F167" s="6"/>
      <c r="G167" s="8" t="str">
        <f aca="false">IF(D167="","",IFERROR(INDEX(Товары!$C$2:$C$200,MATCH(D167,Товары!$A$2:$A$200,0)),0))</f>
        <v/>
      </c>
      <c r="H167" s="8" t="str">
        <f aca="false">IF(D167="","",F167*G167)</f>
        <v/>
      </c>
      <c r="I167" s="8" t="str">
        <f aca="false">IF(D167="","",F167*IFERROR(INDEX(Товары!$D$2:$D$200,MATCH(D167,Товары!$A$2:$A$200,0)),0))</f>
        <v/>
      </c>
      <c r="J167" s="8" t="str">
        <f aca="false">IF(D167="","",H167-I167)</f>
        <v/>
      </c>
      <c r="K167" s="7" t="str">
        <f aca="false">IF(A167="","",MONTH(A167))</f>
        <v/>
      </c>
      <c r="L167" s="7" t="str">
        <f aca="false">IF(A167="","",YEAR(A167))</f>
        <v/>
      </c>
      <c r="M167" s="9" t="str">
        <f aca="false">IF(B167="","",B167&amp;"|"&amp;COUNTIF(B$2:B167,B167))</f>
        <v/>
      </c>
    </row>
    <row r="168" customFormat="false" ht="15" hidden="false" customHeight="false" outlineLevel="0" collapsed="false">
      <c r="A168" s="5"/>
      <c r="B168" s="6"/>
      <c r="C168" s="6"/>
      <c r="D168" s="6"/>
      <c r="E168" s="7" t="str">
        <f aca="false">IF(D168="","",IFERROR(INDEX(Товары!$B$2:$B$200,MATCH(D168,Товары!$A$2:$A$200,0)),"нет в справочнике"))</f>
        <v/>
      </c>
      <c r="F168" s="6"/>
      <c r="G168" s="8" t="str">
        <f aca="false">IF(D168="","",IFERROR(INDEX(Товары!$C$2:$C$200,MATCH(D168,Товары!$A$2:$A$200,0)),0))</f>
        <v/>
      </c>
      <c r="H168" s="8" t="str">
        <f aca="false">IF(D168="","",F168*G168)</f>
        <v/>
      </c>
      <c r="I168" s="8" t="str">
        <f aca="false">IF(D168="","",F168*IFERROR(INDEX(Товары!$D$2:$D$200,MATCH(D168,Товары!$A$2:$A$200,0)),0))</f>
        <v/>
      </c>
      <c r="J168" s="8" t="str">
        <f aca="false">IF(D168="","",H168-I168)</f>
        <v/>
      </c>
      <c r="K168" s="7" t="str">
        <f aca="false">IF(A168="","",MONTH(A168))</f>
        <v/>
      </c>
      <c r="L168" s="7" t="str">
        <f aca="false">IF(A168="","",YEAR(A168))</f>
        <v/>
      </c>
      <c r="M168" s="9" t="str">
        <f aca="false">IF(B168="","",B168&amp;"|"&amp;COUNTIF(B$2:B168,B168))</f>
        <v/>
      </c>
    </row>
    <row r="169" customFormat="false" ht="15" hidden="false" customHeight="false" outlineLevel="0" collapsed="false">
      <c r="A169" s="5"/>
      <c r="B169" s="6"/>
      <c r="C169" s="6"/>
      <c r="D169" s="6"/>
      <c r="E169" s="7" t="str">
        <f aca="false">IF(D169="","",IFERROR(INDEX(Товары!$B$2:$B$200,MATCH(D169,Товары!$A$2:$A$200,0)),"нет в справочнике"))</f>
        <v/>
      </c>
      <c r="F169" s="6"/>
      <c r="G169" s="8" t="str">
        <f aca="false">IF(D169="","",IFERROR(INDEX(Товары!$C$2:$C$200,MATCH(D169,Товары!$A$2:$A$200,0)),0))</f>
        <v/>
      </c>
      <c r="H169" s="8" t="str">
        <f aca="false">IF(D169="","",F169*G169)</f>
        <v/>
      </c>
      <c r="I169" s="8" t="str">
        <f aca="false">IF(D169="","",F169*IFERROR(INDEX(Товары!$D$2:$D$200,MATCH(D169,Товары!$A$2:$A$200,0)),0))</f>
        <v/>
      </c>
      <c r="J169" s="8" t="str">
        <f aca="false">IF(D169="","",H169-I169)</f>
        <v/>
      </c>
      <c r="K169" s="7" t="str">
        <f aca="false">IF(A169="","",MONTH(A169))</f>
        <v/>
      </c>
      <c r="L169" s="7" t="str">
        <f aca="false">IF(A169="","",YEAR(A169))</f>
        <v/>
      </c>
      <c r="M169" s="9" t="str">
        <f aca="false">IF(B169="","",B169&amp;"|"&amp;COUNTIF(B$2:B169,B169))</f>
        <v/>
      </c>
    </row>
    <row r="170" customFormat="false" ht="15" hidden="false" customHeight="false" outlineLevel="0" collapsed="false">
      <c r="A170" s="5"/>
      <c r="B170" s="6"/>
      <c r="C170" s="6"/>
      <c r="D170" s="6"/>
      <c r="E170" s="7" t="str">
        <f aca="false">IF(D170="","",IFERROR(INDEX(Товары!$B$2:$B$200,MATCH(D170,Товары!$A$2:$A$200,0)),"нет в справочнике"))</f>
        <v/>
      </c>
      <c r="F170" s="6"/>
      <c r="G170" s="8" t="str">
        <f aca="false">IF(D170="","",IFERROR(INDEX(Товары!$C$2:$C$200,MATCH(D170,Товары!$A$2:$A$200,0)),0))</f>
        <v/>
      </c>
      <c r="H170" s="8" t="str">
        <f aca="false">IF(D170="","",F170*G170)</f>
        <v/>
      </c>
      <c r="I170" s="8" t="str">
        <f aca="false">IF(D170="","",F170*IFERROR(INDEX(Товары!$D$2:$D$200,MATCH(D170,Товары!$A$2:$A$200,0)),0))</f>
        <v/>
      </c>
      <c r="J170" s="8" t="str">
        <f aca="false">IF(D170="","",H170-I170)</f>
        <v/>
      </c>
      <c r="K170" s="7" t="str">
        <f aca="false">IF(A170="","",MONTH(A170))</f>
        <v/>
      </c>
      <c r="L170" s="7" t="str">
        <f aca="false">IF(A170="","",YEAR(A170))</f>
        <v/>
      </c>
      <c r="M170" s="9" t="str">
        <f aca="false">IF(B170="","",B170&amp;"|"&amp;COUNTIF(B$2:B170,B170))</f>
        <v/>
      </c>
    </row>
    <row r="171" customFormat="false" ht="15" hidden="false" customHeight="false" outlineLevel="0" collapsed="false">
      <c r="A171" s="5"/>
      <c r="B171" s="6"/>
      <c r="C171" s="6"/>
      <c r="D171" s="6"/>
      <c r="E171" s="7" t="str">
        <f aca="false">IF(D171="","",IFERROR(INDEX(Товары!$B$2:$B$200,MATCH(D171,Товары!$A$2:$A$200,0)),"нет в справочнике"))</f>
        <v/>
      </c>
      <c r="F171" s="6"/>
      <c r="G171" s="8" t="str">
        <f aca="false">IF(D171="","",IFERROR(INDEX(Товары!$C$2:$C$200,MATCH(D171,Товары!$A$2:$A$200,0)),0))</f>
        <v/>
      </c>
      <c r="H171" s="8" t="str">
        <f aca="false">IF(D171="","",F171*G171)</f>
        <v/>
      </c>
      <c r="I171" s="8" t="str">
        <f aca="false">IF(D171="","",F171*IFERROR(INDEX(Товары!$D$2:$D$200,MATCH(D171,Товары!$A$2:$A$200,0)),0))</f>
        <v/>
      </c>
      <c r="J171" s="8" t="str">
        <f aca="false">IF(D171="","",H171-I171)</f>
        <v/>
      </c>
      <c r="K171" s="7" t="str">
        <f aca="false">IF(A171="","",MONTH(A171))</f>
        <v/>
      </c>
      <c r="L171" s="7" t="str">
        <f aca="false">IF(A171="","",YEAR(A171))</f>
        <v/>
      </c>
      <c r="M171" s="9" t="str">
        <f aca="false">IF(B171="","",B171&amp;"|"&amp;COUNTIF(B$2:B171,B171))</f>
        <v/>
      </c>
    </row>
    <row r="172" customFormat="false" ht="15" hidden="false" customHeight="false" outlineLevel="0" collapsed="false">
      <c r="A172" s="5"/>
      <c r="B172" s="6"/>
      <c r="C172" s="6"/>
      <c r="D172" s="6"/>
      <c r="E172" s="7" t="str">
        <f aca="false">IF(D172="","",IFERROR(INDEX(Товары!$B$2:$B$200,MATCH(D172,Товары!$A$2:$A$200,0)),"нет в справочнике"))</f>
        <v/>
      </c>
      <c r="F172" s="6"/>
      <c r="G172" s="8" t="str">
        <f aca="false">IF(D172="","",IFERROR(INDEX(Товары!$C$2:$C$200,MATCH(D172,Товары!$A$2:$A$200,0)),0))</f>
        <v/>
      </c>
      <c r="H172" s="8" t="str">
        <f aca="false">IF(D172="","",F172*G172)</f>
        <v/>
      </c>
      <c r="I172" s="8" t="str">
        <f aca="false">IF(D172="","",F172*IFERROR(INDEX(Товары!$D$2:$D$200,MATCH(D172,Товары!$A$2:$A$200,0)),0))</f>
        <v/>
      </c>
      <c r="J172" s="8" t="str">
        <f aca="false">IF(D172="","",H172-I172)</f>
        <v/>
      </c>
      <c r="K172" s="7" t="str">
        <f aca="false">IF(A172="","",MONTH(A172))</f>
        <v/>
      </c>
      <c r="L172" s="7" t="str">
        <f aca="false">IF(A172="","",YEAR(A172))</f>
        <v/>
      </c>
      <c r="M172" s="9" t="str">
        <f aca="false">IF(B172="","",B172&amp;"|"&amp;COUNTIF(B$2:B172,B172))</f>
        <v/>
      </c>
    </row>
    <row r="173" customFormat="false" ht="15" hidden="false" customHeight="false" outlineLevel="0" collapsed="false">
      <c r="A173" s="5"/>
      <c r="B173" s="6"/>
      <c r="C173" s="6"/>
      <c r="D173" s="6"/>
      <c r="E173" s="7" t="str">
        <f aca="false">IF(D173="","",IFERROR(INDEX(Товары!$B$2:$B$200,MATCH(D173,Товары!$A$2:$A$200,0)),"нет в справочнике"))</f>
        <v/>
      </c>
      <c r="F173" s="6"/>
      <c r="G173" s="8" t="str">
        <f aca="false">IF(D173="","",IFERROR(INDEX(Товары!$C$2:$C$200,MATCH(D173,Товары!$A$2:$A$200,0)),0))</f>
        <v/>
      </c>
      <c r="H173" s="8" t="str">
        <f aca="false">IF(D173="","",F173*G173)</f>
        <v/>
      </c>
      <c r="I173" s="8" t="str">
        <f aca="false">IF(D173="","",F173*IFERROR(INDEX(Товары!$D$2:$D$200,MATCH(D173,Товары!$A$2:$A$200,0)),0))</f>
        <v/>
      </c>
      <c r="J173" s="8" t="str">
        <f aca="false">IF(D173="","",H173-I173)</f>
        <v/>
      </c>
      <c r="K173" s="7" t="str">
        <f aca="false">IF(A173="","",MONTH(A173))</f>
        <v/>
      </c>
      <c r="L173" s="7" t="str">
        <f aca="false">IF(A173="","",YEAR(A173))</f>
        <v/>
      </c>
      <c r="M173" s="9" t="str">
        <f aca="false">IF(B173="","",B173&amp;"|"&amp;COUNTIF(B$2:B173,B173))</f>
        <v/>
      </c>
    </row>
    <row r="174" customFormat="false" ht="15" hidden="false" customHeight="false" outlineLevel="0" collapsed="false">
      <c r="A174" s="5"/>
      <c r="B174" s="6"/>
      <c r="C174" s="6"/>
      <c r="D174" s="6"/>
      <c r="E174" s="7" t="str">
        <f aca="false">IF(D174="","",IFERROR(INDEX(Товары!$B$2:$B$200,MATCH(D174,Товары!$A$2:$A$200,0)),"нет в справочнике"))</f>
        <v/>
      </c>
      <c r="F174" s="6"/>
      <c r="G174" s="8" t="str">
        <f aca="false">IF(D174="","",IFERROR(INDEX(Товары!$C$2:$C$200,MATCH(D174,Товары!$A$2:$A$200,0)),0))</f>
        <v/>
      </c>
      <c r="H174" s="8" t="str">
        <f aca="false">IF(D174="","",F174*G174)</f>
        <v/>
      </c>
      <c r="I174" s="8" t="str">
        <f aca="false">IF(D174="","",F174*IFERROR(INDEX(Товары!$D$2:$D$200,MATCH(D174,Товары!$A$2:$A$200,0)),0))</f>
        <v/>
      </c>
      <c r="J174" s="8" t="str">
        <f aca="false">IF(D174="","",H174-I174)</f>
        <v/>
      </c>
      <c r="K174" s="7" t="str">
        <f aca="false">IF(A174="","",MONTH(A174))</f>
        <v/>
      </c>
      <c r="L174" s="7" t="str">
        <f aca="false">IF(A174="","",YEAR(A174))</f>
        <v/>
      </c>
      <c r="M174" s="9" t="str">
        <f aca="false">IF(B174="","",B174&amp;"|"&amp;COUNTIF(B$2:B174,B174))</f>
        <v/>
      </c>
    </row>
    <row r="175" customFormat="false" ht="15" hidden="false" customHeight="false" outlineLevel="0" collapsed="false">
      <c r="A175" s="5"/>
      <c r="B175" s="6"/>
      <c r="C175" s="6"/>
      <c r="D175" s="6"/>
      <c r="E175" s="7" t="str">
        <f aca="false">IF(D175="","",IFERROR(INDEX(Товары!$B$2:$B$200,MATCH(D175,Товары!$A$2:$A$200,0)),"нет в справочнике"))</f>
        <v/>
      </c>
      <c r="F175" s="6"/>
      <c r="G175" s="8" t="str">
        <f aca="false">IF(D175="","",IFERROR(INDEX(Товары!$C$2:$C$200,MATCH(D175,Товары!$A$2:$A$200,0)),0))</f>
        <v/>
      </c>
      <c r="H175" s="8" t="str">
        <f aca="false">IF(D175="","",F175*G175)</f>
        <v/>
      </c>
      <c r="I175" s="8" t="str">
        <f aca="false">IF(D175="","",F175*IFERROR(INDEX(Товары!$D$2:$D$200,MATCH(D175,Товары!$A$2:$A$200,0)),0))</f>
        <v/>
      </c>
      <c r="J175" s="8" t="str">
        <f aca="false">IF(D175="","",H175-I175)</f>
        <v/>
      </c>
      <c r="K175" s="7" t="str">
        <f aca="false">IF(A175="","",MONTH(A175))</f>
        <v/>
      </c>
      <c r="L175" s="7" t="str">
        <f aca="false">IF(A175="","",YEAR(A175))</f>
        <v/>
      </c>
      <c r="M175" s="9" t="str">
        <f aca="false">IF(B175="","",B175&amp;"|"&amp;COUNTIF(B$2:B175,B175))</f>
        <v/>
      </c>
    </row>
    <row r="176" customFormat="false" ht="15" hidden="false" customHeight="false" outlineLevel="0" collapsed="false">
      <c r="A176" s="5"/>
      <c r="B176" s="6"/>
      <c r="C176" s="6"/>
      <c r="D176" s="6"/>
      <c r="E176" s="7" t="str">
        <f aca="false">IF(D176="","",IFERROR(INDEX(Товары!$B$2:$B$200,MATCH(D176,Товары!$A$2:$A$200,0)),"нет в справочнике"))</f>
        <v/>
      </c>
      <c r="F176" s="6"/>
      <c r="G176" s="8" t="str">
        <f aca="false">IF(D176="","",IFERROR(INDEX(Товары!$C$2:$C$200,MATCH(D176,Товары!$A$2:$A$200,0)),0))</f>
        <v/>
      </c>
      <c r="H176" s="8" t="str">
        <f aca="false">IF(D176="","",F176*G176)</f>
        <v/>
      </c>
      <c r="I176" s="8" t="str">
        <f aca="false">IF(D176="","",F176*IFERROR(INDEX(Товары!$D$2:$D$200,MATCH(D176,Товары!$A$2:$A$200,0)),0))</f>
        <v/>
      </c>
      <c r="J176" s="8" t="str">
        <f aca="false">IF(D176="","",H176-I176)</f>
        <v/>
      </c>
      <c r="K176" s="7" t="str">
        <f aca="false">IF(A176="","",MONTH(A176))</f>
        <v/>
      </c>
      <c r="L176" s="7" t="str">
        <f aca="false">IF(A176="","",YEAR(A176))</f>
        <v/>
      </c>
      <c r="M176" s="9" t="str">
        <f aca="false">IF(B176="","",B176&amp;"|"&amp;COUNTIF(B$2:B176,B176))</f>
        <v/>
      </c>
    </row>
    <row r="177" customFormat="false" ht="15" hidden="false" customHeight="false" outlineLevel="0" collapsed="false">
      <c r="A177" s="5"/>
      <c r="B177" s="6"/>
      <c r="C177" s="6"/>
      <c r="D177" s="6"/>
      <c r="E177" s="7" t="str">
        <f aca="false">IF(D177="","",IFERROR(INDEX(Товары!$B$2:$B$200,MATCH(D177,Товары!$A$2:$A$200,0)),"нет в справочнике"))</f>
        <v/>
      </c>
      <c r="F177" s="6"/>
      <c r="G177" s="8" t="str">
        <f aca="false">IF(D177="","",IFERROR(INDEX(Товары!$C$2:$C$200,MATCH(D177,Товары!$A$2:$A$200,0)),0))</f>
        <v/>
      </c>
      <c r="H177" s="8" t="str">
        <f aca="false">IF(D177="","",F177*G177)</f>
        <v/>
      </c>
      <c r="I177" s="8" t="str">
        <f aca="false">IF(D177="","",F177*IFERROR(INDEX(Товары!$D$2:$D$200,MATCH(D177,Товары!$A$2:$A$200,0)),0))</f>
        <v/>
      </c>
      <c r="J177" s="8" t="str">
        <f aca="false">IF(D177="","",H177-I177)</f>
        <v/>
      </c>
      <c r="K177" s="7" t="str">
        <f aca="false">IF(A177="","",MONTH(A177))</f>
        <v/>
      </c>
      <c r="L177" s="7" t="str">
        <f aca="false">IF(A177="","",YEAR(A177))</f>
        <v/>
      </c>
      <c r="M177" s="9" t="str">
        <f aca="false">IF(B177="","",B177&amp;"|"&amp;COUNTIF(B$2:B177,B177))</f>
        <v/>
      </c>
    </row>
    <row r="178" customFormat="false" ht="15" hidden="false" customHeight="false" outlineLevel="0" collapsed="false">
      <c r="A178" s="5"/>
      <c r="B178" s="6"/>
      <c r="C178" s="6"/>
      <c r="D178" s="6"/>
      <c r="E178" s="7" t="str">
        <f aca="false">IF(D178="","",IFERROR(INDEX(Товары!$B$2:$B$200,MATCH(D178,Товары!$A$2:$A$200,0)),"нет в справочнике"))</f>
        <v/>
      </c>
      <c r="F178" s="6"/>
      <c r="G178" s="8" t="str">
        <f aca="false">IF(D178="","",IFERROR(INDEX(Товары!$C$2:$C$200,MATCH(D178,Товары!$A$2:$A$200,0)),0))</f>
        <v/>
      </c>
      <c r="H178" s="8" t="str">
        <f aca="false">IF(D178="","",F178*G178)</f>
        <v/>
      </c>
      <c r="I178" s="8" t="str">
        <f aca="false">IF(D178="","",F178*IFERROR(INDEX(Товары!$D$2:$D$200,MATCH(D178,Товары!$A$2:$A$200,0)),0))</f>
        <v/>
      </c>
      <c r="J178" s="8" t="str">
        <f aca="false">IF(D178="","",H178-I178)</f>
        <v/>
      </c>
      <c r="K178" s="7" t="str">
        <f aca="false">IF(A178="","",MONTH(A178))</f>
        <v/>
      </c>
      <c r="L178" s="7" t="str">
        <f aca="false">IF(A178="","",YEAR(A178))</f>
        <v/>
      </c>
      <c r="M178" s="9" t="str">
        <f aca="false">IF(B178="","",B178&amp;"|"&amp;COUNTIF(B$2:B178,B178))</f>
        <v/>
      </c>
    </row>
    <row r="179" customFormat="false" ht="15" hidden="false" customHeight="false" outlineLevel="0" collapsed="false">
      <c r="A179" s="5"/>
      <c r="B179" s="6"/>
      <c r="C179" s="6"/>
      <c r="D179" s="6"/>
      <c r="E179" s="7" t="str">
        <f aca="false">IF(D179="","",IFERROR(INDEX(Товары!$B$2:$B$200,MATCH(D179,Товары!$A$2:$A$200,0)),"нет в справочнике"))</f>
        <v/>
      </c>
      <c r="F179" s="6"/>
      <c r="G179" s="8" t="str">
        <f aca="false">IF(D179="","",IFERROR(INDEX(Товары!$C$2:$C$200,MATCH(D179,Товары!$A$2:$A$200,0)),0))</f>
        <v/>
      </c>
      <c r="H179" s="8" t="str">
        <f aca="false">IF(D179="","",F179*G179)</f>
        <v/>
      </c>
      <c r="I179" s="8" t="str">
        <f aca="false">IF(D179="","",F179*IFERROR(INDEX(Товары!$D$2:$D$200,MATCH(D179,Товары!$A$2:$A$200,0)),0))</f>
        <v/>
      </c>
      <c r="J179" s="8" t="str">
        <f aca="false">IF(D179="","",H179-I179)</f>
        <v/>
      </c>
      <c r="K179" s="7" t="str">
        <f aca="false">IF(A179="","",MONTH(A179))</f>
        <v/>
      </c>
      <c r="L179" s="7" t="str">
        <f aca="false">IF(A179="","",YEAR(A179))</f>
        <v/>
      </c>
      <c r="M179" s="9" t="str">
        <f aca="false">IF(B179="","",B179&amp;"|"&amp;COUNTIF(B$2:B179,B179))</f>
        <v/>
      </c>
    </row>
    <row r="180" customFormat="false" ht="15" hidden="false" customHeight="false" outlineLevel="0" collapsed="false">
      <c r="A180" s="5"/>
      <c r="B180" s="6"/>
      <c r="C180" s="6"/>
      <c r="D180" s="6"/>
      <c r="E180" s="7" t="str">
        <f aca="false">IF(D180="","",IFERROR(INDEX(Товары!$B$2:$B$200,MATCH(D180,Товары!$A$2:$A$200,0)),"нет в справочнике"))</f>
        <v/>
      </c>
      <c r="F180" s="6"/>
      <c r="G180" s="8" t="str">
        <f aca="false">IF(D180="","",IFERROR(INDEX(Товары!$C$2:$C$200,MATCH(D180,Товары!$A$2:$A$200,0)),0))</f>
        <v/>
      </c>
      <c r="H180" s="8" t="str">
        <f aca="false">IF(D180="","",F180*G180)</f>
        <v/>
      </c>
      <c r="I180" s="8" t="str">
        <f aca="false">IF(D180="","",F180*IFERROR(INDEX(Товары!$D$2:$D$200,MATCH(D180,Товары!$A$2:$A$200,0)),0))</f>
        <v/>
      </c>
      <c r="J180" s="8" t="str">
        <f aca="false">IF(D180="","",H180-I180)</f>
        <v/>
      </c>
      <c r="K180" s="7" t="str">
        <f aca="false">IF(A180="","",MONTH(A180))</f>
        <v/>
      </c>
      <c r="L180" s="7" t="str">
        <f aca="false">IF(A180="","",YEAR(A180))</f>
        <v/>
      </c>
      <c r="M180" s="9" t="str">
        <f aca="false">IF(B180="","",B180&amp;"|"&amp;COUNTIF(B$2:B180,B180))</f>
        <v/>
      </c>
    </row>
    <row r="181" customFormat="false" ht="15" hidden="false" customHeight="false" outlineLevel="0" collapsed="false">
      <c r="A181" s="5"/>
      <c r="B181" s="6"/>
      <c r="C181" s="6"/>
      <c r="D181" s="6"/>
      <c r="E181" s="7" t="str">
        <f aca="false">IF(D181="","",IFERROR(INDEX(Товары!$B$2:$B$200,MATCH(D181,Товары!$A$2:$A$200,0)),"нет в справочнике"))</f>
        <v/>
      </c>
      <c r="F181" s="6"/>
      <c r="G181" s="8" t="str">
        <f aca="false">IF(D181="","",IFERROR(INDEX(Товары!$C$2:$C$200,MATCH(D181,Товары!$A$2:$A$200,0)),0))</f>
        <v/>
      </c>
      <c r="H181" s="8" t="str">
        <f aca="false">IF(D181="","",F181*G181)</f>
        <v/>
      </c>
      <c r="I181" s="8" t="str">
        <f aca="false">IF(D181="","",F181*IFERROR(INDEX(Товары!$D$2:$D$200,MATCH(D181,Товары!$A$2:$A$200,0)),0))</f>
        <v/>
      </c>
      <c r="J181" s="8" t="str">
        <f aca="false">IF(D181="","",H181-I181)</f>
        <v/>
      </c>
      <c r="K181" s="7" t="str">
        <f aca="false">IF(A181="","",MONTH(A181))</f>
        <v/>
      </c>
      <c r="L181" s="7" t="str">
        <f aca="false">IF(A181="","",YEAR(A181))</f>
        <v/>
      </c>
      <c r="M181" s="9" t="str">
        <f aca="false">IF(B181="","",B181&amp;"|"&amp;COUNTIF(B$2:B181,B181))</f>
        <v/>
      </c>
    </row>
    <row r="182" customFormat="false" ht="15" hidden="false" customHeight="false" outlineLevel="0" collapsed="false">
      <c r="A182" s="5"/>
      <c r="B182" s="6"/>
      <c r="C182" s="6"/>
      <c r="D182" s="6"/>
      <c r="E182" s="7" t="str">
        <f aca="false">IF(D182="","",IFERROR(INDEX(Товары!$B$2:$B$200,MATCH(D182,Товары!$A$2:$A$200,0)),"нет в справочнике"))</f>
        <v/>
      </c>
      <c r="F182" s="6"/>
      <c r="G182" s="8" t="str">
        <f aca="false">IF(D182="","",IFERROR(INDEX(Товары!$C$2:$C$200,MATCH(D182,Товары!$A$2:$A$200,0)),0))</f>
        <v/>
      </c>
      <c r="H182" s="8" t="str">
        <f aca="false">IF(D182="","",F182*G182)</f>
        <v/>
      </c>
      <c r="I182" s="8" t="str">
        <f aca="false">IF(D182="","",F182*IFERROR(INDEX(Товары!$D$2:$D$200,MATCH(D182,Товары!$A$2:$A$200,0)),0))</f>
        <v/>
      </c>
      <c r="J182" s="8" t="str">
        <f aca="false">IF(D182="","",H182-I182)</f>
        <v/>
      </c>
      <c r="K182" s="7" t="str">
        <f aca="false">IF(A182="","",MONTH(A182))</f>
        <v/>
      </c>
      <c r="L182" s="7" t="str">
        <f aca="false">IF(A182="","",YEAR(A182))</f>
        <v/>
      </c>
      <c r="M182" s="9" t="str">
        <f aca="false">IF(B182="","",B182&amp;"|"&amp;COUNTIF(B$2:B182,B182))</f>
        <v/>
      </c>
    </row>
    <row r="183" customFormat="false" ht="15" hidden="false" customHeight="false" outlineLevel="0" collapsed="false">
      <c r="A183" s="5"/>
      <c r="B183" s="6"/>
      <c r="C183" s="6"/>
      <c r="D183" s="6"/>
      <c r="E183" s="7" t="str">
        <f aca="false">IF(D183="","",IFERROR(INDEX(Товары!$B$2:$B$200,MATCH(D183,Товары!$A$2:$A$200,0)),"нет в справочнике"))</f>
        <v/>
      </c>
      <c r="F183" s="6"/>
      <c r="G183" s="8" t="str">
        <f aca="false">IF(D183="","",IFERROR(INDEX(Товары!$C$2:$C$200,MATCH(D183,Товары!$A$2:$A$200,0)),0))</f>
        <v/>
      </c>
      <c r="H183" s="8" t="str">
        <f aca="false">IF(D183="","",F183*G183)</f>
        <v/>
      </c>
      <c r="I183" s="8" t="str">
        <f aca="false">IF(D183="","",F183*IFERROR(INDEX(Товары!$D$2:$D$200,MATCH(D183,Товары!$A$2:$A$200,0)),0))</f>
        <v/>
      </c>
      <c r="J183" s="8" t="str">
        <f aca="false">IF(D183="","",H183-I183)</f>
        <v/>
      </c>
      <c r="K183" s="7" t="str">
        <f aca="false">IF(A183="","",MONTH(A183))</f>
        <v/>
      </c>
      <c r="L183" s="7" t="str">
        <f aca="false">IF(A183="","",YEAR(A183))</f>
        <v/>
      </c>
      <c r="M183" s="9" t="str">
        <f aca="false">IF(B183="","",B183&amp;"|"&amp;COUNTIF(B$2:B183,B183))</f>
        <v/>
      </c>
    </row>
    <row r="184" customFormat="false" ht="15" hidden="false" customHeight="false" outlineLevel="0" collapsed="false">
      <c r="A184" s="5"/>
      <c r="B184" s="6"/>
      <c r="C184" s="6"/>
      <c r="D184" s="6"/>
      <c r="E184" s="7" t="str">
        <f aca="false">IF(D184="","",IFERROR(INDEX(Товары!$B$2:$B$200,MATCH(D184,Товары!$A$2:$A$200,0)),"нет в справочнике"))</f>
        <v/>
      </c>
      <c r="F184" s="6"/>
      <c r="G184" s="8" t="str">
        <f aca="false">IF(D184="","",IFERROR(INDEX(Товары!$C$2:$C$200,MATCH(D184,Товары!$A$2:$A$200,0)),0))</f>
        <v/>
      </c>
      <c r="H184" s="8" t="str">
        <f aca="false">IF(D184="","",F184*G184)</f>
        <v/>
      </c>
      <c r="I184" s="8" t="str">
        <f aca="false">IF(D184="","",F184*IFERROR(INDEX(Товары!$D$2:$D$200,MATCH(D184,Товары!$A$2:$A$200,0)),0))</f>
        <v/>
      </c>
      <c r="J184" s="8" t="str">
        <f aca="false">IF(D184="","",H184-I184)</f>
        <v/>
      </c>
      <c r="K184" s="7" t="str">
        <f aca="false">IF(A184="","",MONTH(A184))</f>
        <v/>
      </c>
      <c r="L184" s="7" t="str">
        <f aca="false">IF(A184="","",YEAR(A184))</f>
        <v/>
      </c>
      <c r="M184" s="9" t="str">
        <f aca="false">IF(B184="","",B184&amp;"|"&amp;COUNTIF(B$2:B184,B184))</f>
        <v/>
      </c>
    </row>
    <row r="185" customFormat="false" ht="15" hidden="false" customHeight="false" outlineLevel="0" collapsed="false">
      <c r="A185" s="5"/>
      <c r="B185" s="6"/>
      <c r="C185" s="6"/>
      <c r="D185" s="6"/>
      <c r="E185" s="7" t="str">
        <f aca="false">IF(D185="","",IFERROR(INDEX(Товары!$B$2:$B$200,MATCH(D185,Товары!$A$2:$A$200,0)),"нет в справочнике"))</f>
        <v/>
      </c>
      <c r="F185" s="6"/>
      <c r="G185" s="8" t="str">
        <f aca="false">IF(D185="","",IFERROR(INDEX(Товары!$C$2:$C$200,MATCH(D185,Товары!$A$2:$A$200,0)),0))</f>
        <v/>
      </c>
      <c r="H185" s="8" t="str">
        <f aca="false">IF(D185="","",F185*G185)</f>
        <v/>
      </c>
      <c r="I185" s="8" t="str">
        <f aca="false">IF(D185="","",F185*IFERROR(INDEX(Товары!$D$2:$D$200,MATCH(D185,Товары!$A$2:$A$200,0)),0))</f>
        <v/>
      </c>
      <c r="J185" s="8" t="str">
        <f aca="false">IF(D185="","",H185-I185)</f>
        <v/>
      </c>
      <c r="K185" s="7" t="str">
        <f aca="false">IF(A185="","",MONTH(A185))</f>
        <v/>
      </c>
      <c r="L185" s="7" t="str">
        <f aca="false">IF(A185="","",YEAR(A185))</f>
        <v/>
      </c>
      <c r="M185" s="9" t="str">
        <f aca="false">IF(B185="","",B185&amp;"|"&amp;COUNTIF(B$2:B185,B185))</f>
        <v/>
      </c>
    </row>
    <row r="186" customFormat="false" ht="15" hidden="false" customHeight="false" outlineLevel="0" collapsed="false">
      <c r="A186" s="5"/>
      <c r="B186" s="6"/>
      <c r="C186" s="6"/>
      <c r="D186" s="6"/>
      <c r="E186" s="7" t="str">
        <f aca="false">IF(D186="","",IFERROR(INDEX(Товары!$B$2:$B$200,MATCH(D186,Товары!$A$2:$A$200,0)),"нет в справочнике"))</f>
        <v/>
      </c>
      <c r="F186" s="6"/>
      <c r="G186" s="8" t="str">
        <f aca="false">IF(D186="","",IFERROR(INDEX(Товары!$C$2:$C$200,MATCH(D186,Товары!$A$2:$A$200,0)),0))</f>
        <v/>
      </c>
      <c r="H186" s="8" t="str">
        <f aca="false">IF(D186="","",F186*G186)</f>
        <v/>
      </c>
      <c r="I186" s="8" t="str">
        <f aca="false">IF(D186="","",F186*IFERROR(INDEX(Товары!$D$2:$D$200,MATCH(D186,Товары!$A$2:$A$200,0)),0))</f>
        <v/>
      </c>
      <c r="J186" s="8" t="str">
        <f aca="false">IF(D186="","",H186-I186)</f>
        <v/>
      </c>
      <c r="K186" s="7" t="str">
        <f aca="false">IF(A186="","",MONTH(A186))</f>
        <v/>
      </c>
      <c r="L186" s="7" t="str">
        <f aca="false">IF(A186="","",YEAR(A186))</f>
        <v/>
      </c>
      <c r="M186" s="9" t="str">
        <f aca="false">IF(B186="","",B186&amp;"|"&amp;COUNTIF(B$2:B186,B186))</f>
        <v/>
      </c>
    </row>
    <row r="187" customFormat="false" ht="15" hidden="false" customHeight="false" outlineLevel="0" collapsed="false">
      <c r="A187" s="5"/>
      <c r="B187" s="6"/>
      <c r="C187" s="6"/>
      <c r="D187" s="6"/>
      <c r="E187" s="7" t="str">
        <f aca="false">IF(D187="","",IFERROR(INDEX(Товары!$B$2:$B$200,MATCH(D187,Товары!$A$2:$A$200,0)),"нет в справочнике"))</f>
        <v/>
      </c>
      <c r="F187" s="6"/>
      <c r="G187" s="8" t="str">
        <f aca="false">IF(D187="","",IFERROR(INDEX(Товары!$C$2:$C$200,MATCH(D187,Товары!$A$2:$A$200,0)),0))</f>
        <v/>
      </c>
      <c r="H187" s="8" t="str">
        <f aca="false">IF(D187="","",F187*G187)</f>
        <v/>
      </c>
      <c r="I187" s="8" t="str">
        <f aca="false">IF(D187="","",F187*IFERROR(INDEX(Товары!$D$2:$D$200,MATCH(D187,Товары!$A$2:$A$200,0)),0))</f>
        <v/>
      </c>
      <c r="J187" s="8" t="str">
        <f aca="false">IF(D187="","",H187-I187)</f>
        <v/>
      </c>
      <c r="K187" s="7" t="str">
        <f aca="false">IF(A187="","",MONTH(A187))</f>
        <v/>
      </c>
      <c r="L187" s="7" t="str">
        <f aca="false">IF(A187="","",YEAR(A187))</f>
        <v/>
      </c>
      <c r="M187" s="9" t="str">
        <f aca="false">IF(B187="","",B187&amp;"|"&amp;COUNTIF(B$2:B187,B187))</f>
        <v/>
      </c>
    </row>
    <row r="188" customFormat="false" ht="15" hidden="false" customHeight="false" outlineLevel="0" collapsed="false">
      <c r="A188" s="5"/>
      <c r="B188" s="6"/>
      <c r="C188" s="6"/>
      <c r="D188" s="6"/>
      <c r="E188" s="7" t="str">
        <f aca="false">IF(D188="","",IFERROR(INDEX(Товары!$B$2:$B$200,MATCH(D188,Товары!$A$2:$A$200,0)),"нет в справочнике"))</f>
        <v/>
      </c>
      <c r="F188" s="6"/>
      <c r="G188" s="8" t="str">
        <f aca="false">IF(D188="","",IFERROR(INDEX(Товары!$C$2:$C$200,MATCH(D188,Товары!$A$2:$A$200,0)),0))</f>
        <v/>
      </c>
      <c r="H188" s="8" t="str">
        <f aca="false">IF(D188="","",F188*G188)</f>
        <v/>
      </c>
      <c r="I188" s="8" t="str">
        <f aca="false">IF(D188="","",F188*IFERROR(INDEX(Товары!$D$2:$D$200,MATCH(D188,Товары!$A$2:$A$200,0)),0))</f>
        <v/>
      </c>
      <c r="J188" s="8" t="str">
        <f aca="false">IF(D188="","",H188-I188)</f>
        <v/>
      </c>
      <c r="K188" s="7" t="str">
        <f aca="false">IF(A188="","",MONTH(A188))</f>
        <v/>
      </c>
      <c r="L188" s="7" t="str">
        <f aca="false">IF(A188="","",YEAR(A188))</f>
        <v/>
      </c>
      <c r="M188" s="9" t="str">
        <f aca="false">IF(B188="","",B188&amp;"|"&amp;COUNTIF(B$2:B188,B188))</f>
        <v/>
      </c>
    </row>
    <row r="189" customFormat="false" ht="15" hidden="false" customHeight="false" outlineLevel="0" collapsed="false">
      <c r="A189" s="5"/>
      <c r="B189" s="6"/>
      <c r="C189" s="6"/>
      <c r="D189" s="6"/>
      <c r="E189" s="7" t="str">
        <f aca="false">IF(D189="","",IFERROR(INDEX(Товары!$B$2:$B$200,MATCH(D189,Товары!$A$2:$A$200,0)),"нет в справочнике"))</f>
        <v/>
      </c>
      <c r="F189" s="6"/>
      <c r="G189" s="8" t="str">
        <f aca="false">IF(D189="","",IFERROR(INDEX(Товары!$C$2:$C$200,MATCH(D189,Товары!$A$2:$A$200,0)),0))</f>
        <v/>
      </c>
      <c r="H189" s="8" t="str">
        <f aca="false">IF(D189="","",F189*G189)</f>
        <v/>
      </c>
      <c r="I189" s="8" t="str">
        <f aca="false">IF(D189="","",F189*IFERROR(INDEX(Товары!$D$2:$D$200,MATCH(D189,Товары!$A$2:$A$200,0)),0))</f>
        <v/>
      </c>
      <c r="J189" s="8" t="str">
        <f aca="false">IF(D189="","",H189-I189)</f>
        <v/>
      </c>
      <c r="K189" s="7" t="str">
        <f aca="false">IF(A189="","",MONTH(A189))</f>
        <v/>
      </c>
      <c r="L189" s="7" t="str">
        <f aca="false">IF(A189="","",YEAR(A189))</f>
        <v/>
      </c>
      <c r="M189" s="9" t="str">
        <f aca="false">IF(B189="","",B189&amp;"|"&amp;COUNTIF(B$2:B189,B189))</f>
        <v/>
      </c>
    </row>
    <row r="190" customFormat="false" ht="15" hidden="false" customHeight="false" outlineLevel="0" collapsed="false">
      <c r="A190" s="5"/>
      <c r="B190" s="6"/>
      <c r="C190" s="6"/>
      <c r="D190" s="6"/>
      <c r="E190" s="7" t="str">
        <f aca="false">IF(D190="","",IFERROR(INDEX(Товары!$B$2:$B$200,MATCH(D190,Товары!$A$2:$A$200,0)),"нет в справочнике"))</f>
        <v/>
      </c>
      <c r="F190" s="6"/>
      <c r="G190" s="8" t="str">
        <f aca="false">IF(D190="","",IFERROR(INDEX(Товары!$C$2:$C$200,MATCH(D190,Товары!$A$2:$A$200,0)),0))</f>
        <v/>
      </c>
      <c r="H190" s="8" t="str">
        <f aca="false">IF(D190="","",F190*G190)</f>
        <v/>
      </c>
      <c r="I190" s="8" t="str">
        <f aca="false">IF(D190="","",F190*IFERROR(INDEX(Товары!$D$2:$D$200,MATCH(D190,Товары!$A$2:$A$200,0)),0))</f>
        <v/>
      </c>
      <c r="J190" s="8" t="str">
        <f aca="false">IF(D190="","",H190-I190)</f>
        <v/>
      </c>
      <c r="K190" s="7" t="str">
        <f aca="false">IF(A190="","",MONTH(A190))</f>
        <v/>
      </c>
      <c r="L190" s="7" t="str">
        <f aca="false">IF(A190="","",YEAR(A190))</f>
        <v/>
      </c>
      <c r="M190" s="9" t="str">
        <f aca="false">IF(B190="","",B190&amp;"|"&amp;COUNTIF(B$2:B190,B190))</f>
        <v/>
      </c>
    </row>
    <row r="191" customFormat="false" ht="15" hidden="false" customHeight="false" outlineLevel="0" collapsed="false">
      <c r="A191" s="5"/>
      <c r="B191" s="6"/>
      <c r="C191" s="6"/>
      <c r="D191" s="6"/>
      <c r="E191" s="7" t="str">
        <f aca="false">IF(D191="","",IFERROR(INDEX(Товары!$B$2:$B$200,MATCH(D191,Товары!$A$2:$A$200,0)),"нет в справочнике"))</f>
        <v/>
      </c>
      <c r="F191" s="6"/>
      <c r="G191" s="8" t="str">
        <f aca="false">IF(D191="","",IFERROR(INDEX(Товары!$C$2:$C$200,MATCH(D191,Товары!$A$2:$A$200,0)),0))</f>
        <v/>
      </c>
      <c r="H191" s="8" t="str">
        <f aca="false">IF(D191="","",F191*G191)</f>
        <v/>
      </c>
      <c r="I191" s="8" t="str">
        <f aca="false">IF(D191="","",F191*IFERROR(INDEX(Товары!$D$2:$D$200,MATCH(D191,Товары!$A$2:$A$200,0)),0))</f>
        <v/>
      </c>
      <c r="J191" s="8" t="str">
        <f aca="false">IF(D191="","",H191-I191)</f>
        <v/>
      </c>
      <c r="K191" s="7" t="str">
        <f aca="false">IF(A191="","",MONTH(A191))</f>
        <v/>
      </c>
      <c r="L191" s="7" t="str">
        <f aca="false">IF(A191="","",YEAR(A191))</f>
        <v/>
      </c>
      <c r="M191" s="9" t="str">
        <f aca="false">IF(B191="","",B191&amp;"|"&amp;COUNTIF(B$2:B191,B191))</f>
        <v/>
      </c>
    </row>
    <row r="192" customFormat="false" ht="15" hidden="false" customHeight="false" outlineLevel="0" collapsed="false">
      <c r="A192" s="5"/>
      <c r="B192" s="6"/>
      <c r="C192" s="6"/>
      <c r="D192" s="6"/>
      <c r="E192" s="7" t="str">
        <f aca="false">IF(D192="","",IFERROR(INDEX(Товары!$B$2:$B$200,MATCH(D192,Товары!$A$2:$A$200,0)),"нет в справочнике"))</f>
        <v/>
      </c>
      <c r="F192" s="6"/>
      <c r="G192" s="8" t="str">
        <f aca="false">IF(D192="","",IFERROR(INDEX(Товары!$C$2:$C$200,MATCH(D192,Товары!$A$2:$A$200,0)),0))</f>
        <v/>
      </c>
      <c r="H192" s="8" t="str">
        <f aca="false">IF(D192="","",F192*G192)</f>
        <v/>
      </c>
      <c r="I192" s="8" t="str">
        <f aca="false">IF(D192="","",F192*IFERROR(INDEX(Товары!$D$2:$D$200,MATCH(D192,Товары!$A$2:$A$200,0)),0))</f>
        <v/>
      </c>
      <c r="J192" s="8" t="str">
        <f aca="false">IF(D192="","",H192-I192)</f>
        <v/>
      </c>
      <c r="K192" s="7" t="str">
        <f aca="false">IF(A192="","",MONTH(A192))</f>
        <v/>
      </c>
      <c r="L192" s="7" t="str">
        <f aca="false">IF(A192="","",YEAR(A192))</f>
        <v/>
      </c>
      <c r="M192" s="9" t="str">
        <f aca="false">IF(B192="","",B192&amp;"|"&amp;COUNTIF(B$2:B192,B192))</f>
        <v/>
      </c>
    </row>
    <row r="193" customFormat="false" ht="15" hidden="false" customHeight="false" outlineLevel="0" collapsed="false">
      <c r="A193" s="5"/>
      <c r="B193" s="6"/>
      <c r="C193" s="6"/>
      <c r="D193" s="6"/>
      <c r="E193" s="7" t="str">
        <f aca="false">IF(D193="","",IFERROR(INDEX(Товары!$B$2:$B$200,MATCH(D193,Товары!$A$2:$A$200,0)),"нет в справочнике"))</f>
        <v/>
      </c>
      <c r="F193" s="6"/>
      <c r="G193" s="8" t="str">
        <f aca="false">IF(D193="","",IFERROR(INDEX(Товары!$C$2:$C$200,MATCH(D193,Товары!$A$2:$A$200,0)),0))</f>
        <v/>
      </c>
      <c r="H193" s="8" t="str">
        <f aca="false">IF(D193="","",F193*G193)</f>
        <v/>
      </c>
      <c r="I193" s="8" t="str">
        <f aca="false">IF(D193="","",F193*IFERROR(INDEX(Товары!$D$2:$D$200,MATCH(D193,Товары!$A$2:$A$200,0)),0))</f>
        <v/>
      </c>
      <c r="J193" s="8" t="str">
        <f aca="false">IF(D193="","",H193-I193)</f>
        <v/>
      </c>
      <c r="K193" s="7" t="str">
        <f aca="false">IF(A193="","",MONTH(A193))</f>
        <v/>
      </c>
      <c r="L193" s="7" t="str">
        <f aca="false">IF(A193="","",YEAR(A193))</f>
        <v/>
      </c>
      <c r="M193" s="9" t="str">
        <f aca="false">IF(B193="","",B193&amp;"|"&amp;COUNTIF(B$2:B193,B193))</f>
        <v/>
      </c>
    </row>
    <row r="194" customFormat="false" ht="15" hidden="false" customHeight="false" outlineLevel="0" collapsed="false">
      <c r="A194" s="5"/>
      <c r="B194" s="6"/>
      <c r="C194" s="6"/>
      <c r="D194" s="6"/>
      <c r="E194" s="7" t="str">
        <f aca="false">IF(D194="","",IFERROR(INDEX(Товары!$B$2:$B$200,MATCH(D194,Товары!$A$2:$A$200,0)),"нет в справочнике"))</f>
        <v/>
      </c>
      <c r="F194" s="6"/>
      <c r="G194" s="8" t="str">
        <f aca="false">IF(D194="","",IFERROR(INDEX(Товары!$C$2:$C$200,MATCH(D194,Товары!$A$2:$A$200,0)),0))</f>
        <v/>
      </c>
      <c r="H194" s="8" t="str">
        <f aca="false">IF(D194="","",F194*G194)</f>
        <v/>
      </c>
      <c r="I194" s="8" t="str">
        <f aca="false">IF(D194="","",F194*IFERROR(INDEX(Товары!$D$2:$D$200,MATCH(D194,Товары!$A$2:$A$200,0)),0))</f>
        <v/>
      </c>
      <c r="J194" s="8" t="str">
        <f aca="false">IF(D194="","",H194-I194)</f>
        <v/>
      </c>
      <c r="K194" s="7" t="str">
        <f aca="false">IF(A194="","",MONTH(A194))</f>
        <v/>
      </c>
      <c r="L194" s="7" t="str">
        <f aca="false">IF(A194="","",YEAR(A194))</f>
        <v/>
      </c>
      <c r="M194" s="9" t="str">
        <f aca="false">IF(B194="","",B194&amp;"|"&amp;COUNTIF(B$2:B194,B194))</f>
        <v/>
      </c>
    </row>
    <row r="195" customFormat="false" ht="15" hidden="false" customHeight="false" outlineLevel="0" collapsed="false">
      <c r="A195" s="5"/>
      <c r="B195" s="6"/>
      <c r="C195" s="6"/>
      <c r="D195" s="6"/>
      <c r="E195" s="7" t="str">
        <f aca="false">IF(D195="","",IFERROR(INDEX(Товары!$B$2:$B$200,MATCH(D195,Товары!$A$2:$A$200,0)),"нет в справочнике"))</f>
        <v/>
      </c>
      <c r="F195" s="6"/>
      <c r="G195" s="8" t="str">
        <f aca="false">IF(D195="","",IFERROR(INDEX(Товары!$C$2:$C$200,MATCH(D195,Товары!$A$2:$A$200,0)),0))</f>
        <v/>
      </c>
      <c r="H195" s="8" t="str">
        <f aca="false">IF(D195="","",F195*G195)</f>
        <v/>
      </c>
      <c r="I195" s="8" t="str">
        <f aca="false">IF(D195="","",F195*IFERROR(INDEX(Товары!$D$2:$D$200,MATCH(D195,Товары!$A$2:$A$200,0)),0))</f>
        <v/>
      </c>
      <c r="J195" s="8" t="str">
        <f aca="false">IF(D195="","",H195-I195)</f>
        <v/>
      </c>
      <c r="K195" s="7" t="str">
        <f aca="false">IF(A195="","",MONTH(A195))</f>
        <v/>
      </c>
      <c r="L195" s="7" t="str">
        <f aca="false">IF(A195="","",YEAR(A195))</f>
        <v/>
      </c>
      <c r="M195" s="9" t="str">
        <f aca="false">IF(B195="","",B195&amp;"|"&amp;COUNTIF(B$2:B195,B195))</f>
        <v/>
      </c>
    </row>
    <row r="196" customFormat="false" ht="15" hidden="false" customHeight="false" outlineLevel="0" collapsed="false">
      <c r="A196" s="5"/>
      <c r="B196" s="6"/>
      <c r="C196" s="6"/>
      <c r="D196" s="6"/>
      <c r="E196" s="7" t="str">
        <f aca="false">IF(D196="","",IFERROR(INDEX(Товары!$B$2:$B$200,MATCH(D196,Товары!$A$2:$A$200,0)),"нет в справочнике"))</f>
        <v/>
      </c>
      <c r="F196" s="6"/>
      <c r="G196" s="8" t="str">
        <f aca="false">IF(D196="","",IFERROR(INDEX(Товары!$C$2:$C$200,MATCH(D196,Товары!$A$2:$A$200,0)),0))</f>
        <v/>
      </c>
      <c r="H196" s="8" t="str">
        <f aca="false">IF(D196="","",F196*G196)</f>
        <v/>
      </c>
      <c r="I196" s="8" t="str">
        <f aca="false">IF(D196="","",F196*IFERROR(INDEX(Товары!$D$2:$D$200,MATCH(D196,Товары!$A$2:$A$200,0)),0))</f>
        <v/>
      </c>
      <c r="J196" s="8" t="str">
        <f aca="false">IF(D196="","",H196-I196)</f>
        <v/>
      </c>
      <c r="K196" s="7" t="str">
        <f aca="false">IF(A196="","",MONTH(A196))</f>
        <v/>
      </c>
      <c r="L196" s="7" t="str">
        <f aca="false">IF(A196="","",YEAR(A196))</f>
        <v/>
      </c>
      <c r="M196" s="9" t="str">
        <f aca="false">IF(B196="","",B196&amp;"|"&amp;COUNTIF(B$2:B196,B196))</f>
        <v/>
      </c>
    </row>
    <row r="197" customFormat="false" ht="15" hidden="false" customHeight="false" outlineLevel="0" collapsed="false">
      <c r="A197" s="5"/>
      <c r="B197" s="6"/>
      <c r="C197" s="6"/>
      <c r="D197" s="6"/>
      <c r="E197" s="7" t="str">
        <f aca="false">IF(D197="","",IFERROR(INDEX(Товары!$B$2:$B$200,MATCH(D197,Товары!$A$2:$A$200,0)),"нет в справочнике"))</f>
        <v/>
      </c>
      <c r="F197" s="6"/>
      <c r="G197" s="8" t="str">
        <f aca="false">IF(D197="","",IFERROR(INDEX(Товары!$C$2:$C$200,MATCH(D197,Товары!$A$2:$A$200,0)),0))</f>
        <v/>
      </c>
      <c r="H197" s="8" t="str">
        <f aca="false">IF(D197="","",F197*G197)</f>
        <v/>
      </c>
      <c r="I197" s="8" t="str">
        <f aca="false">IF(D197="","",F197*IFERROR(INDEX(Товары!$D$2:$D$200,MATCH(D197,Товары!$A$2:$A$200,0)),0))</f>
        <v/>
      </c>
      <c r="J197" s="8" t="str">
        <f aca="false">IF(D197="","",H197-I197)</f>
        <v/>
      </c>
      <c r="K197" s="7" t="str">
        <f aca="false">IF(A197="","",MONTH(A197))</f>
        <v/>
      </c>
      <c r="L197" s="7" t="str">
        <f aca="false">IF(A197="","",YEAR(A197))</f>
        <v/>
      </c>
      <c r="M197" s="9" t="str">
        <f aca="false">IF(B197="","",B197&amp;"|"&amp;COUNTIF(B$2:B197,B197))</f>
        <v/>
      </c>
    </row>
    <row r="198" customFormat="false" ht="15" hidden="false" customHeight="false" outlineLevel="0" collapsed="false">
      <c r="A198" s="5"/>
      <c r="B198" s="6"/>
      <c r="C198" s="6"/>
      <c r="D198" s="6"/>
      <c r="E198" s="7" t="str">
        <f aca="false">IF(D198="","",IFERROR(INDEX(Товары!$B$2:$B$200,MATCH(D198,Товары!$A$2:$A$200,0)),"нет в справочнике"))</f>
        <v/>
      </c>
      <c r="F198" s="6"/>
      <c r="G198" s="8" t="str">
        <f aca="false">IF(D198="","",IFERROR(INDEX(Товары!$C$2:$C$200,MATCH(D198,Товары!$A$2:$A$200,0)),0))</f>
        <v/>
      </c>
      <c r="H198" s="8" t="str">
        <f aca="false">IF(D198="","",F198*G198)</f>
        <v/>
      </c>
      <c r="I198" s="8" t="str">
        <f aca="false">IF(D198="","",F198*IFERROR(INDEX(Товары!$D$2:$D$200,MATCH(D198,Товары!$A$2:$A$200,0)),0))</f>
        <v/>
      </c>
      <c r="J198" s="8" t="str">
        <f aca="false">IF(D198="","",H198-I198)</f>
        <v/>
      </c>
      <c r="K198" s="7" t="str">
        <f aca="false">IF(A198="","",MONTH(A198))</f>
        <v/>
      </c>
      <c r="L198" s="7" t="str">
        <f aca="false">IF(A198="","",YEAR(A198))</f>
        <v/>
      </c>
      <c r="M198" s="9" t="str">
        <f aca="false">IF(B198="","",B198&amp;"|"&amp;COUNTIF(B$2:B198,B198))</f>
        <v/>
      </c>
    </row>
    <row r="199" customFormat="false" ht="15" hidden="false" customHeight="false" outlineLevel="0" collapsed="false">
      <c r="A199" s="5"/>
      <c r="B199" s="6"/>
      <c r="C199" s="6"/>
      <c r="D199" s="6"/>
      <c r="E199" s="7" t="str">
        <f aca="false">IF(D199="","",IFERROR(INDEX(Товары!$B$2:$B$200,MATCH(D199,Товары!$A$2:$A$200,0)),"нет в справочнике"))</f>
        <v/>
      </c>
      <c r="F199" s="6"/>
      <c r="G199" s="8" t="str">
        <f aca="false">IF(D199="","",IFERROR(INDEX(Товары!$C$2:$C$200,MATCH(D199,Товары!$A$2:$A$200,0)),0))</f>
        <v/>
      </c>
      <c r="H199" s="8" t="str">
        <f aca="false">IF(D199="","",F199*G199)</f>
        <v/>
      </c>
      <c r="I199" s="8" t="str">
        <f aca="false">IF(D199="","",F199*IFERROR(INDEX(Товары!$D$2:$D$200,MATCH(D199,Товары!$A$2:$A$200,0)),0))</f>
        <v/>
      </c>
      <c r="J199" s="8" t="str">
        <f aca="false">IF(D199="","",H199-I199)</f>
        <v/>
      </c>
      <c r="K199" s="7" t="str">
        <f aca="false">IF(A199="","",MONTH(A199))</f>
        <v/>
      </c>
      <c r="L199" s="7" t="str">
        <f aca="false">IF(A199="","",YEAR(A199))</f>
        <v/>
      </c>
      <c r="M199" s="9" t="str">
        <f aca="false">IF(B199="","",B199&amp;"|"&amp;COUNTIF(B$2:B199,B199))</f>
        <v/>
      </c>
    </row>
    <row r="200" customFormat="false" ht="15" hidden="false" customHeight="false" outlineLevel="0" collapsed="false">
      <c r="A200" s="5"/>
      <c r="B200" s="6"/>
      <c r="C200" s="6"/>
      <c r="D200" s="6"/>
      <c r="E200" s="7" t="str">
        <f aca="false">IF(D200="","",IFERROR(INDEX(Товары!$B$2:$B$200,MATCH(D200,Товары!$A$2:$A$200,0)),"нет в справочнике"))</f>
        <v/>
      </c>
      <c r="F200" s="6"/>
      <c r="G200" s="8" t="str">
        <f aca="false">IF(D200="","",IFERROR(INDEX(Товары!$C$2:$C$200,MATCH(D200,Товары!$A$2:$A$200,0)),0))</f>
        <v/>
      </c>
      <c r="H200" s="8" t="str">
        <f aca="false">IF(D200="","",F200*G200)</f>
        <v/>
      </c>
      <c r="I200" s="8" t="str">
        <f aca="false">IF(D200="","",F200*IFERROR(INDEX(Товары!$D$2:$D$200,MATCH(D200,Товары!$A$2:$A$200,0)),0))</f>
        <v/>
      </c>
      <c r="J200" s="8" t="str">
        <f aca="false">IF(D200="","",H200-I200)</f>
        <v/>
      </c>
      <c r="K200" s="7" t="str">
        <f aca="false">IF(A200="","",MONTH(A200))</f>
        <v/>
      </c>
      <c r="L200" s="7" t="str">
        <f aca="false">IF(A200="","",YEAR(A200))</f>
        <v/>
      </c>
      <c r="M200" s="9" t="str">
        <f aca="false">IF(B200="","",B200&amp;"|"&amp;COUNTIF(B$2:B200,B200))</f>
        <v/>
      </c>
    </row>
    <row r="201" customFormat="false" ht="15" hidden="false" customHeight="false" outlineLevel="0" collapsed="false">
      <c r="A201" s="5"/>
      <c r="B201" s="6"/>
      <c r="C201" s="6"/>
      <c r="D201" s="6"/>
      <c r="E201" s="7" t="str">
        <f aca="false">IF(D201="","",IFERROR(INDEX(Товары!$B$2:$B$200,MATCH(D201,Товары!$A$2:$A$200,0)),"нет в справочнике"))</f>
        <v/>
      </c>
      <c r="F201" s="6"/>
      <c r="G201" s="8" t="str">
        <f aca="false">IF(D201="","",IFERROR(INDEX(Товары!$C$2:$C$200,MATCH(D201,Товары!$A$2:$A$200,0)),0))</f>
        <v/>
      </c>
      <c r="H201" s="8" t="str">
        <f aca="false">IF(D201="","",F201*G201)</f>
        <v/>
      </c>
      <c r="I201" s="8" t="str">
        <f aca="false">IF(D201="","",F201*IFERROR(INDEX(Товары!$D$2:$D$200,MATCH(D201,Товары!$A$2:$A$200,0)),0))</f>
        <v/>
      </c>
      <c r="J201" s="8" t="str">
        <f aca="false">IF(D201="","",H201-I201)</f>
        <v/>
      </c>
      <c r="K201" s="7" t="str">
        <f aca="false">IF(A201="","",MONTH(A201))</f>
        <v/>
      </c>
      <c r="L201" s="7" t="str">
        <f aca="false">IF(A201="","",YEAR(A201))</f>
        <v/>
      </c>
      <c r="M201" s="9" t="str">
        <f aca="false">IF(B201="","",B201&amp;"|"&amp;COUNTIF(B$2:B201,B201))</f>
        <v/>
      </c>
    </row>
    <row r="202" customFormat="false" ht="15" hidden="false" customHeight="false" outlineLevel="0" collapsed="false">
      <c r="A202" s="5"/>
      <c r="B202" s="6"/>
      <c r="C202" s="6"/>
      <c r="D202" s="6"/>
      <c r="E202" s="7" t="str">
        <f aca="false">IF(D202="","",IFERROR(INDEX(Товары!$B$2:$B$200,MATCH(D202,Товары!$A$2:$A$200,0)),"нет в справочнике"))</f>
        <v/>
      </c>
      <c r="F202" s="6"/>
      <c r="G202" s="8" t="str">
        <f aca="false">IF(D202="","",IFERROR(INDEX(Товары!$C$2:$C$200,MATCH(D202,Товары!$A$2:$A$200,0)),0))</f>
        <v/>
      </c>
      <c r="H202" s="8" t="str">
        <f aca="false">IF(D202="","",F202*G202)</f>
        <v/>
      </c>
      <c r="I202" s="8" t="str">
        <f aca="false">IF(D202="","",F202*IFERROR(INDEX(Товары!$D$2:$D$200,MATCH(D202,Товары!$A$2:$A$200,0)),0))</f>
        <v/>
      </c>
      <c r="J202" s="8" t="str">
        <f aca="false">IF(D202="","",H202-I202)</f>
        <v/>
      </c>
      <c r="K202" s="7" t="str">
        <f aca="false">IF(A202="","",MONTH(A202))</f>
        <v/>
      </c>
      <c r="L202" s="7" t="str">
        <f aca="false">IF(A202="","",YEAR(A202))</f>
        <v/>
      </c>
      <c r="M202" s="9" t="str">
        <f aca="false">IF(B202="","",B202&amp;"|"&amp;COUNTIF(B$2:B202,B202))</f>
        <v/>
      </c>
    </row>
    <row r="203" customFormat="false" ht="15" hidden="false" customHeight="false" outlineLevel="0" collapsed="false">
      <c r="A203" s="5"/>
      <c r="B203" s="6"/>
      <c r="C203" s="6"/>
      <c r="D203" s="6"/>
      <c r="E203" s="7" t="str">
        <f aca="false">IF(D203="","",IFERROR(INDEX(Товары!$B$2:$B$200,MATCH(D203,Товары!$A$2:$A$200,0)),"нет в справочнике"))</f>
        <v/>
      </c>
      <c r="F203" s="6"/>
      <c r="G203" s="8" t="str">
        <f aca="false">IF(D203="","",IFERROR(INDEX(Товары!$C$2:$C$200,MATCH(D203,Товары!$A$2:$A$200,0)),0))</f>
        <v/>
      </c>
      <c r="H203" s="8" t="str">
        <f aca="false">IF(D203="","",F203*G203)</f>
        <v/>
      </c>
      <c r="I203" s="8" t="str">
        <f aca="false">IF(D203="","",F203*IFERROR(INDEX(Товары!$D$2:$D$200,MATCH(D203,Товары!$A$2:$A$200,0)),0))</f>
        <v/>
      </c>
      <c r="J203" s="8" t="str">
        <f aca="false">IF(D203="","",H203-I203)</f>
        <v/>
      </c>
      <c r="K203" s="7" t="str">
        <f aca="false">IF(A203="","",MONTH(A203))</f>
        <v/>
      </c>
      <c r="L203" s="7" t="str">
        <f aca="false">IF(A203="","",YEAR(A203))</f>
        <v/>
      </c>
      <c r="M203" s="9" t="str">
        <f aca="false">IF(B203="","",B203&amp;"|"&amp;COUNTIF(B$2:B203,B203))</f>
        <v/>
      </c>
    </row>
    <row r="204" customFormat="false" ht="15" hidden="false" customHeight="false" outlineLevel="0" collapsed="false">
      <c r="A204" s="5"/>
      <c r="B204" s="6"/>
      <c r="C204" s="6"/>
      <c r="D204" s="6"/>
      <c r="E204" s="7" t="str">
        <f aca="false">IF(D204="","",IFERROR(INDEX(Товары!$B$2:$B$200,MATCH(D204,Товары!$A$2:$A$200,0)),"нет в справочнике"))</f>
        <v/>
      </c>
      <c r="F204" s="6"/>
      <c r="G204" s="8" t="str">
        <f aca="false">IF(D204="","",IFERROR(INDEX(Товары!$C$2:$C$200,MATCH(D204,Товары!$A$2:$A$200,0)),0))</f>
        <v/>
      </c>
      <c r="H204" s="8" t="str">
        <f aca="false">IF(D204="","",F204*G204)</f>
        <v/>
      </c>
      <c r="I204" s="8" t="str">
        <f aca="false">IF(D204="","",F204*IFERROR(INDEX(Товары!$D$2:$D$200,MATCH(D204,Товары!$A$2:$A$200,0)),0))</f>
        <v/>
      </c>
      <c r="J204" s="8" t="str">
        <f aca="false">IF(D204="","",H204-I204)</f>
        <v/>
      </c>
      <c r="K204" s="7" t="str">
        <f aca="false">IF(A204="","",MONTH(A204))</f>
        <v/>
      </c>
      <c r="L204" s="7" t="str">
        <f aca="false">IF(A204="","",YEAR(A204))</f>
        <v/>
      </c>
      <c r="M204" s="9" t="str">
        <f aca="false">IF(B204="","",B204&amp;"|"&amp;COUNTIF(B$2:B204,B204))</f>
        <v/>
      </c>
    </row>
    <row r="205" customFormat="false" ht="15" hidden="false" customHeight="false" outlineLevel="0" collapsed="false">
      <c r="A205" s="5"/>
      <c r="B205" s="6"/>
      <c r="C205" s="6"/>
      <c r="D205" s="6"/>
      <c r="E205" s="7" t="str">
        <f aca="false">IF(D205="","",IFERROR(INDEX(Товары!$B$2:$B$200,MATCH(D205,Товары!$A$2:$A$200,0)),"нет в справочнике"))</f>
        <v/>
      </c>
      <c r="F205" s="6"/>
      <c r="G205" s="8" t="str">
        <f aca="false">IF(D205="","",IFERROR(INDEX(Товары!$C$2:$C$200,MATCH(D205,Товары!$A$2:$A$200,0)),0))</f>
        <v/>
      </c>
      <c r="H205" s="8" t="str">
        <f aca="false">IF(D205="","",F205*G205)</f>
        <v/>
      </c>
      <c r="I205" s="8" t="str">
        <f aca="false">IF(D205="","",F205*IFERROR(INDEX(Товары!$D$2:$D$200,MATCH(D205,Товары!$A$2:$A$200,0)),0))</f>
        <v/>
      </c>
      <c r="J205" s="8" t="str">
        <f aca="false">IF(D205="","",H205-I205)</f>
        <v/>
      </c>
      <c r="K205" s="7" t="str">
        <f aca="false">IF(A205="","",MONTH(A205))</f>
        <v/>
      </c>
      <c r="L205" s="7" t="str">
        <f aca="false">IF(A205="","",YEAR(A205))</f>
        <v/>
      </c>
      <c r="M205" s="9" t="str">
        <f aca="false">IF(B205="","",B205&amp;"|"&amp;COUNTIF(B$2:B205,B205))</f>
        <v/>
      </c>
    </row>
    <row r="206" customFormat="false" ht="15" hidden="false" customHeight="false" outlineLevel="0" collapsed="false">
      <c r="A206" s="5"/>
      <c r="B206" s="6"/>
      <c r="C206" s="6"/>
      <c r="D206" s="6"/>
      <c r="E206" s="7" t="str">
        <f aca="false">IF(D206="","",IFERROR(INDEX(Товары!$B$2:$B$200,MATCH(D206,Товары!$A$2:$A$200,0)),"нет в справочнике"))</f>
        <v/>
      </c>
      <c r="F206" s="6"/>
      <c r="G206" s="8" t="str">
        <f aca="false">IF(D206="","",IFERROR(INDEX(Товары!$C$2:$C$200,MATCH(D206,Товары!$A$2:$A$200,0)),0))</f>
        <v/>
      </c>
      <c r="H206" s="8" t="str">
        <f aca="false">IF(D206="","",F206*G206)</f>
        <v/>
      </c>
      <c r="I206" s="8" t="str">
        <f aca="false">IF(D206="","",F206*IFERROR(INDEX(Товары!$D$2:$D$200,MATCH(D206,Товары!$A$2:$A$200,0)),0))</f>
        <v/>
      </c>
      <c r="J206" s="8" t="str">
        <f aca="false">IF(D206="","",H206-I206)</f>
        <v/>
      </c>
      <c r="K206" s="7" t="str">
        <f aca="false">IF(A206="","",MONTH(A206))</f>
        <v/>
      </c>
      <c r="L206" s="7" t="str">
        <f aca="false">IF(A206="","",YEAR(A206))</f>
        <v/>
      </c>
      <c r="M206" s="9" t="str">
        <f aca="false">IF(B206="","",B206&amp;"|"&amp;COUNTIF(B$2:B206,B206))</f>
        <v/>
      </c>
    </row>
    <row r="207" customFormat="false" ht="15" hidden="false" customHeight="false" outlineLevel="0" collapsed="false">
      <c r="A207" s="5"/>
      <c r="B207" s="6"/>
      <c r="C207" s="6"/>
      <c r="D207" s="6"/>
      <c r="E207" s="7" t="str">
        <f aca="false">IF(D207="","",IFERROR(INDEX(Товары!$B$2:$B$200,MATCH(D207,Товары!$A$2:$A$200,0)),"нет в справочнике"))</f>
        <v/>
      </c>
      <c r="F207" s="6"/>
      <c r="G207" s="8" t="str">
        <f aca="false">IF(D207="","",IFERROR(INDEX(Товары!$C$2:$C$200,MATCH(D207,Товары!$A$2:$A$200,0)),0))</f>
        <v/>
      </c>
      <c r="H207" s="8" t="str">
        <f aca="false">IF(D207="","",F207*G207)</f>
        <v/>
      </c>
      <c r="I207" s="8" t="str">
        <f aca="false">IF(D207="","",F207*IFERROR(INDEX(Товары!$D$2:$D$200,MATCH(D207,Товары!$A$2:$A$200,0)),0))</f>
        <v/>
      </c>
      <c r="J207" s="8" t="str">
        <f aca="false">IF(D207="","",H207-I207)</f>
        <v/>
      </c>
      <c r="K207" s="7" t="str">
        <f aca="false">IF(A207="","",MONTH(A207))</f>
        <v/>
      </c>
      <c r="L207" s="7" t="str">
        <f aca="false">IF(A207="","",YEAR(A207))</f>
        <v/>
      </c>
      <c r="M207" s="9" t="str">
        <f aca="false">IF(B207="","",B207&amp;"|"&amp;COUNTIF(B$2:B207,B207))</f>
        <v/>
      </c>
    </row>
    <row r="208" customFormat="false" ht="15" hidden="false" customHeight="false" outlineLevel="0" collapsed="false">
      <c r="A208" s="5"/>
      <c r="B208" s="6"/>
      <c r="C208" s="6"/>
      <c r="D208" s="6"/>
      <c r="E208" s="7" t="str">
        <f aca="false">IF(D208="","",IFERROR(INDEX(Товары!$B$2:$B$200,MATCH(D208,Товары!$A$2:$A$200,0)),"нет в справочнике"))</f>
        <v/>
      </c>
      <c r="F208" s="6"/>
      <c r="G208" s="8" t="str">
        <f aca="false">IF(D208="","",IFERROR(INDEX(Товары!$C$2:$C$200,MATCH(D208,Товары!$A$2:$A$200,0)),0))</f>
        <v/>
      </c>
      <c r="H208" s="8" t="str">
        <f aca="false">IF(D208="","",F208*G208)</f>
        <v/>
      </c>
      <c r="I208" s="8" t="str">
        <f aca="false">IF(D208="","",F208*IFERROR(INDEX(Товары!$D$2:$D$200,MATCH(D208,Товары!$A$2:$A$200,0)),0))</f>
        <v/>
      </c>
      <c r="J208" s="8" t="str">
        <f aca="false">IF(D208="","",H208-I208)</f>
        <v/>
      </c>
      <c r="K208" s="7" t="str">
        <f aca="false">IF(A208="","",MONTH(A208))</f>
        <v/>
      </c>
      <c r="L208" s="7" t="str">
        <f aca="false">IF(A208="","",YEAR(A208))</f>
        <v/>
      </c>
      <c r="M208" s="9" t="str">
        <f aca="false">IF(B208="","",B208&amp;"|"&amp;COUNTIF(B$2:B208,B208))</f>
        <v/>
      </c>
    </row>
    <row r="209" customFormat="false" ht="15" hidden="false" customHeight="false" outlineLevel="0" collapsed="false">
      <c r="A209" s="5"/>
      <c r="B209" s="6"/>
      <c r="C209" s="6"/>
      <c r="D209" s="6"/>
      <c r="E209" s="7" t="str">
        <f aca="false">IF(D209="","",IFERROR(INDEX(Товары!$B$2:$B$200,MATCH(D209,Товары!$A$2:$A$200,0)),"нет в справочнике"))</f>
        <v/>
      </c>
      <c r="F209" s="6"/>
      <c r="G209" s="8" t="str">
        <f aca="false">IF(D209="","",IFERROR(INDEX(Товары!$C$2:$C$200,MATCH(D209,Товары!$A$2:$A$200,0)),0))</f>
        <v/>
      </c>
      <c r="H209" s="8" t="str">
        <f aca="false">IF(D209="","",F209*G209)</f>
        <v/>
      </c>
      <c r="I209" s="8" t="str">
        <f aca="false">IF(D209="","",F209*IFERROR(INDEX(Товары!$D$2:$D$200,MATCH(D209,Товары!$A$2:$A$200,0)),0))</f>
        <v/>
      </c>
      <c r="J209" s="8" t="str">
        <f aca="false">IF(D209="","",H209-I209)</f>
        <v/>
      </c>
      <c r="K209" s="7" t="str">
        <f aca="false">IF(A209="","",MONTH(A209))</f>
        <v/>
      </c>
      <c r="L209" s="7" t="str">
        <f aca="false">IF(A209="","",YEAR(A209))</f>
        <v/>
      </c>
      <c r="M209" s="9" t="str">
        <f aca="false">IF(B209="","",B209&amp;"|"&amp;COUNTIF(B$2:B209,B209))</f>
        <v/>
      </c>
    </row>
    <row r="210" customFormat="false" ht="15" hidden="false" customHeight="false" outlineLevel="0" collapsed="false">
      <c r="A210" s="5"/>
      <c r="B210" s="6"/>
      <c r="C210" s="6"/>
      <c r="D210" s="6"/>
      <c r="E210" s="7" t="str">
        <f aca="false">IF(D210="","",IFERROR(INDEX(Товары!$B$2:$B$200,MATCH(D210,Товары!$A$2:$A$200,0)),"нет в справочнике"))</f>
        <v/>
      </c>
      <c r="F210" s="6"/>
      <c r="G210" s="8" t="str">
        <f aca="false">IF(D210="","",IFERROR(INDEX(Товары!$C$2:$C$200,MATCH(D210,Товары!$A$2:$A$200,0)),0))</f>
        <v/>
      </c>
      <c r="H210" s="8" t="str">
        <f aca="false">IF(D210="","",F210*G210)</f>
        <v/>
      </c>
      <c r="I210" s="8" t="str">
        <f aca="false">IF(D210="","",F210*IFERROR(INDEX(Товары!$D$2:$D$200,MATCH(D210,Товары!$A$2:$A$200,0)),0))</f>
        <v/>
      </c>
      <c r="J210" s="8" t="str">
        <f aca="false">IF(D210="","",H210-I210)</f>
        <v/>
      </c>
      <c r="K210" s="7" t="str">
        <f aca="false">IF(A210="","",MONTH(A210))</f>
        <v/>
      </c>
      <c r="L210" s="7" t="str">
        <f aca="false">IF(A210="","",YEAR(A210))</f>
        <v/>
      </c>
      <c r="M210" s="9" t="str">
        <f aca="false">IF(B210="","",B210&amp;"|"&amp;COUNTIF(B$2:B210,B210))</f>
        <v/>
      </c>
    </row>
    <row r="211" customFormat="false" ht="15" hidden="false" customHeight="false" outlineLevel="0" collapsed="false">
      <c r="A211" s="5"/>
      <c r="B211" s="6"/>
      <c r="C211" s="6"/>
      <c r="D211" s="6"/>
      <c r="E211" s="7" t="str">
        <f aca="false">IF(D211="","",IFERROR(INDEX(Товары!$B$2:$B$200,MATCH(D211,Товары!$A$2:$A$200,0)),"нет в справочнике"))</f>
        <v/>
      </c>
      <c r="F211" s="6"/>
      <c r="G211" s="8" t="str">
        <f aca="false">IF(D211="","",IFERROR(INDEX(Товары!$C$2:$C$200,MATCH(D211,Товары!$A$2:$A$200,0)),0))</f>
        <v/>
      </c>
      <c r="H211" s="8" t="str">
        <f aca="false">IF(D211="","",F211*G211)</f>
        <v/>
      </c>
      <c r="I211" s="8" t="str">
        <f aca="false">IF(D211="","",F211*IFERROR(INDEX(Товары!$D$2:$D$200,MATCH(D211,Товары!$A$2:$A$200,0)),0))</f>
        <v/>
      </c>
      <c r="J211" s="8" t="str">
        <f aca="false">IF(D211="","",H211-I211)</f>
        <v/>
      </c>
      <c r="K211" s="7" t="str">
        <f aca="false">IF(A211="","",MONTH(A211))</f>
        <v/>
      </c>
      <c r="L211" s="7" t="str">
        <f aca="false">IF(A211="","",YEAR(A211))</f>
        <v/>
      </c>
      <c r="M211" s="9" t="str">
        <f aca="false">IF(B211="","",B211&amp;"|"&amp;COUNTIF(B$2:B211,B211))</f>
        <v/>
      </c>
    </row>
    <row r="212" customFormat="false" ht="15" hidden="false" customHeight="false" outlineLevel="0" collapsed="false">
      <c r="A212" s="5"/>
      <c r="B212" s="6"/>
      <c r="C212" s="6"/>
      <c r="D212" s="6"/>
      <c r="E212" s="7" t="str">
        <f aca="false">IF(D212="","",IFERROR(INDEX(Товары!$B$2:$B$200,MATCH(D212,Товары!$A$2:$A$200,0)),"нет в справочнике"))</f>
        <v/>
      </c>
      <c r="F212" s="6"/>
      <c r="G212" s="8" t="str">
        <f aca="false">IF(D212="","",IFERROR(INDEX(Товары!$C$2:$C$200,MATCH(D212,Товары!$A$2:$A$200,0)),0))</f>
        <v/>
      </c>
      <c r="H212" s="8" t="str">
        <f aca="false">IF(D212="","",F212*G212)</f>
        <v/>
      </c>
      <c r="I212" s="8" t="str">
        <f aca="false">IF(D212="","",F212*IFERROR(INDEX(Товары!$D$2:$D$200,MATCH(D212,Товары!$A$2:$A$200,0)),0))</f>
        <v/>
      </c>
      <c r="J212" s="8" t="str">
        <f aca="false">IF(D212="","",H212-I212)</f>
        <v/>
      </c>
      <c r="K212" s="7" t="str">
        <f aca="false">IF(A212="","",MONTH(A212))</f>
        <v/>
      </c>
      <c r="L212" s="7" t="str">
        <f aca="false">IF(A212="","",YEAR(A212))</f>
        <v/>
      </c>
      <c r="M212" s="9" t="str">
        <f aca="false">IF(B212="","",B212&amp;"|"&amp;COUNTIF(B$2:B212,B212))</f>
        <v/>
      </c>
    </row>
    <row r="213" customFormat="false" ht="15" hidden="false" customHeight="false" outlineLevel="0" collapsed="false">
      <c r="A213" s="5"/>
      <c r="B213" s="6"/>
      <c r="C213" s="6"/>
      <c r="D213" s="6"/>
      <c r="E213" s="7" t="str">
        <f aca="false">IF(D213="","",IFERROR(INDEX(Товары!$B$2:$B$200,MATCH(D213,Товары!$A$2:$A$200,0)),"нет в справочнике"))</f>
        <v/>
      </c>
      <c r="F213" s="6"/>
      <c r="G213" s="8" t="str">
        <f aca="false">IF(D213="","",IFERROR(INDEX(Товары!$C$2:$C$200,MATCH(D213,Товары!$A$2:$A$200,0)),0))</f>
        <v/>
      </c>
      <c r="H213" s="8" t="str">
        <f aca="false">IF(D213="","",F213*G213)</f>
        <v/>
      </c>
      <c r="I213" s="8" t="str">
        <f aca="false">IF(D213="","",F213*IFERROR(INDEX(Товары!$D$2:$D$200,MATCH(D213,Товары!$A$2:$A$200,0)),0))</f>
        <v/>
      </c>
      <c r="J213" s="8" t="str">
        <f aca="false">IF(D213="","",H213-I213)</f>
        <v/>
      </c>
      <c r="K213" s="7" t="str">
        <f aca="false">IF(A213="","",MONTH(A213))</f>
        <v/>
      </c>
      <c r="L213" s="7" t="str">
        <f aca="false">IF(A213="","",YEAR(A213))</f>
        <v/>
      </c>
      <c r="M213" s="9" t="str">
        <f aca="false">IF(B213="","",B213&amp;"|"&amp;COUNTIF(B$2:B213,B213))</f>
        <v/>
      </c>
    </row>
    <row r="214" customFormat="false" ht="15" hidden="false" customHeight="false" outlineLevel="0" collapsed="false">
      <c r="A214" s="5"/>
      <c r="B214" s="6"/>
      <c r="C214" s="6"/>
      <c r="D214" s="6"/>
      <c r="E214" s="7" t="str">
        <f aca="false">IF(D214="","",IFERROR(INDEX(Товары!$B$2:$B$200,MATCH(D214,Товары!$A$2:$A$200,0)),"нет в справочнике"))</f>
        <v/>
      </c>
      <c r="F214" s="6"/>
      <c r="G214" s="8" t="str">
        <f aca="false">IF(D214="","",IFERROR(INDEX(Товары!$C$2:$C$200,MATCH(D214,Товары!$A$2:$A$200,0)),0))</f>
        <v/>
      </c>
      <c r="H214" s="8" t="str">
        <f aca="false">IF(D214="","",F214*G214)</f>
        <v/>
      </c>
      <c r="I214" s="8" t="str">
        <f aca="false">IF(D214="","",F214*IFERROR(INDEX(Товары!$D$2:$D$200,MATCH(D214,Товары!$A$2:$A$200,0)),0))</f>
        <v/>
      </c>
      <c r="J214" s="8" t="str">
        <f aca="false">IF(D214="","",H214-I214)</f>
        <v/>
      </c>
      <c r="K214" s="7" t="str">
        <f aca="false">IF(A214="","",MONTH(A214))</f>
        <v/>
      </c>
      <c r="L214" s="7" t="str">
        <f aca="false">IF(A214="","",YEAR(A214))</f>
        <v/>
      </c>
      <c r="M214" s="9" t="str">
        <f aca="false">IF(B214="","",B214&amp;"|"&amp;COUNTIF(B$2:B214,B214))</f>
        <v/>
      </c>
    </row>
    <row r="215" customFormat="false" ht="15" hidden="false" customHeight="false" outlineLevel="0" collapsed="false">
      <c r="A215" s="5"/>
      <c r="B215" s="6"/>
      <c r="C215" s="6"/>
      <c r="D215" s="6"/>
      <c r="E215" s="7" t="str">
        <f aca="false">IF(D215="","",IFERROR(INDEX(Товары!$B$2:$B$200,MATCH(D215,Товары!$A$2:$A$200,0)),"нет в справочнике"))</f>
        <v/>
      </c>
      <c r="F215" s="6"/>
      <c r="G215" s="8" t="str">
        <f aca="false">IF(D215="","",IFERROR(INDEX(Товары!$C$2:$C$200,MATCH(D215,Товары!$A$2:$A$200,0)),0))</f>
        <v/>
      </c>
      <c r="H215" s="8" t="str">
        <f aca="false">IF(D215="","",F215*G215)</f>
        <v/>
      </c>
      <c r="I215" s="8" t="str">
        <f aca="false">IF(D215="","",F215*IFERROR(INDEX(Товары!$D$2:$D$200,MATCH(D215,Товары!$A$2:$A$200,0)),0))</f>
        <v/>
      </c>
      <c r="J215" s="8" t="str">
        <f aca="false">IF(D215="","",H215-I215)</f>
        <v/>
      </c>
      <c r="K215" s="7" t="str">
        <f aca="false">IF(A215="","",MONTH(A215))</f>
        <v/>
      </c>
      <c r="L215" s="7" t="str">
        <f aca="false">IF(A215="","",YEAR(A215))</f>
        <v/>
      </c>
      <c r="M215" s="9" t="str">
        <f aca="false">IF(B215="","",B215&amp;"|"&amp;COUNTIF(B$2:B215,B215))</f>
        <v/>
      </c>
    </row>
    <row r="216" customFormat="false" ht="15" hidden="false" customHeight="false" outlineLevel="0" collapsed="false">
      <c r="A216" s="5"/>
      <c r="B216" s="6"/>
      <c r="C216" s="6"/>
      <c r="D216" s="6"/>
      <c r="E216" s="7" t="str">
        <f aca="false">IF(D216="","",IFERROR(INDEX(Товары!$B$2:$B$200,MATCH(D216,Товары!$A$2:$A$200,0)),"нет в справочнике"))</f>
        <v/>
      </c>
      <c r="F216" s="6"/>
      <c r="G216" s="8" t="str">
        <f aca="false">IF(D216="","",IFERROR(INDEX(Товары!$C$2:$C$200,MATCH(D216,Товары!$A$2:$A$200,0)),0))</f>
        <v/>
      </c>
      <c r="H216" s="8" t="str">
        <f aca="false">IF(D216="","",F216*G216)</f>
        <v/>
      </c>
      <c r="I216" s="8" t="str">
        <f aca="false">IF(D216="","",F216*IFERROR(INDEX(Товары!$D$2:$D$200,MATCH(D216,Товары!$A$2:$A$200,0)),0))</f>
        <v/>
      </c>
      <c r="J216" s="8" t="str">
        <f aca="false">IF(D216="","",H216-I216)</f>
        <v/>
      </c>
      <c r="K216" s="7" t="str">
        <f aca="false">IF(A216="","",MONTH(A216))</f>
        <v/>
      </c>
      <c r="L216" s="7" t="str">
        <f aca="false">IF(A216="","",YEAR(A216))</f>
        <v/>
      </c>
      <c r="M216" s="9" t="str">
        <f aca="false">IF(B216="","",B216&amp;"|"&amp;COUNTIF(B$2:B216,B216))</f>
        <v/>
      </c>
    </row>
    <row r="217" customFormat="false" ht="15" hidden="false" customHeight="false" outlineLevel="0" collapsed="false">
      <c r="A217" s="5"/>
      <c r="B217" s="6"/>
      <c r="C217" s="6"/>
      <c r="D217" s="6"/>
      <c r="E217" s="7" t="str">
        <f aca="false">IF(D217="","",IFERROR(INDEX(Товары!$B$2:$B$200,MATCH(D217,Товары!$A$2:$A$200,0)),"нет в справочнике"))</f>
        <v/>
      </c>
      <c r="F217" s="6"/>
      <c r="G217" s="8" t="str">
        <f aca="false">IF(D217="","",IFERROR(INDEX(Товары!$C$2:$C$200,MATCH(D217,Товары!$A$2:$A$200,0)),0))</f>
        <v/>
      </c>
      <c r="H217" s="8" t="str">
        <f aca="false">IF(D217="","",F217*G217)</f>
        <v/>
      </c>
      <c r="I217" s="8" t="str">
        <f aca="false">IF(D217="","",F217*IFERROR(INDEX(Товары!$D$2:$D$200,MATCH(D217,Товары!$A$2:$A$200,0)),0))</f>
        <v/>
      </c>
      <c r="J217" s="8" t="str">
        <f aca="false">IF(D217="","",H217-I217)</f>
        <v/>
      </c>
      <c r="K217" s="7" t="str">
        <f aca="false">IF(A217="","",MONTH(A217))</f>
        <v/>
      </c>
      <c r="L217" s="7" t="str">
        <f aca="false">IF(A217="","",YEAR(A217))</f>
        <v/>
      </c>
      <c r="M217" s="9" t="str">
        <f aca="false">IF(B217="","",B217&amp;"|"&amp;COUNTIF(B$2:B217,B217))</f>
        <v/>
      </c>
    </row>
    <row r="218" customFormat="false" ht="15" hidden="false" customHeight="false" outlineLevel="0" collapsed="false">
      <c r="A218" s="5"/>
      <c r="B218" s="6"/>
      <c r="C218" s="6"/>
      <c r="D218" s="6"/>
      <c r="E218" s="7" t="str">
        <f aca="false">IF(D218="","",IFERROR(INDEX(Товары!$B$2:$B$200,MATCH(D218,Товары!$A$2:$A$200,0)),"нет в справочнике"))</f>
        <v/>
      </c>
      <c r="F218" s="6"/>
      <c r="G218" s="8" t="str">
        <f aca="false">IF(D218="","",IFERROR(INDEX(Товары!$C$2:$C$200,MATCH(D218,Товары!$A$2:$A$200,0)),0))</f>
        <v/>
      </c>
      <c r="H218" s="8" t="str">
        <f aca="false">IF(D218="","",F218*G218)</f>
        <v/>
      </c>
      <c r="I218" s="8" t="str">
        <f aca="false">IF(D218="","",F218*IFERROR(INDEX(Товары!$D$2:$D$200,MATCH(D218,Товары!$A$2:$A$200,0)),0))</f>
        <v/>
      </c>
      <c r="J218" s="8" t="str">
        <f aca="false">IF(D218="","",H218-I218)</f>
        <v/>
      </c>
      <c r="K218" s="7" t="str">
        <f aca="false">IF(A218="","",MONTH(A218))</f>
        <v/>
      </c>
      <c r="L218" s="7" t="str">
        <f aca="false">IF(A218="","",YEAR(A218))</f>
        <v/>
      </c>
      <c r="M218" s="9" t="str">
        <f aca="false">IF(B218="","",B218&amp;"|"&amp;COUNTIF(B$2:B218,B218))</f>
        <v/>
      </c>
    </row>
    <row r="219" customFormat="false" ht="15" hidden="false" customHeight="false" outlineLevel="0" collapsed="false">
      <c r="A219" s="5"/>
      <c r="B219" s="6"/>
      <c r="C219" s="6"/>
      <c r="D219" s="6"/>
      <c r="E219" s="7" t="str">
        <f aca="false">IF(D219="","",IFERROR(INDEX(Товары!$B$2:$B$200,MATCH(D219,Товары!$A$2:$A$200,0)),"нет в справочнике"))</f>
        <v/>
      </c>
      <c r="F219" s="6"/>
      <c r="G219" s="8" t="str">
        <f aca="false">IF(D219="","",IFERROR(INDEX(Товары!$C$2:$C$200,MATCH(D219,Товары!$A$2:$A$200,0)),0))</f>
        <v/>
      </c>
      <c r="H219" s="8" t="str">
        <f aca="false">IF(D219="","",F219*G219)</f>
        <v/>
      </c>
      <c r="I219" s="8" t="str">
        <f aca="false">IF(D219="","",F219*IFERROR(INDEX(Товары!$D$2:$D$200,MATCH(D219,Товары!$A$2:$A$200,0)),0))</f>
        <v/>
      </c>
      <c r="J219" s="8" t="str">
        <f aca="false">IF(D219="","",H219-I219)</f>
        <v/>
      </c>
      <c r="K219" s="7" t="str">
        <f aca="false">IF(A219="","",MONTH(A219))</f>
        <v/>
      </c>
      <c r="L219" s="7" t="str">
        <f aca="false">IF(A219="","",YEAR(A219))</f>
        <v/>
      </c>
      <c r="M219" s="9" t="str">
        <f aca="false">IF(B219="","",B219&amp;"|"&amp;COUNTIF(B$2:B219,B219))</f>
        <v/>
      </c>
    </row>
    <row r="220" customFormat="false" ht="15" hidden="false" customHeight="false" outlineLevel="0" collapsed="false">
      <c r="A220" s="5"/>
      <c r="B220" s="6"/>
      <c r="C220" s="6"/>
      <c r="D220" s="6"/>
      <c r="E220" s="7" t="str">
        <f aca="false">IF(D220="","",IFERROR(INDEX(Товары!$B$2:$B$200,MATCH(D220,Товары!$A$2:$A$200,0)),"нет в справочнике"))</f>
        <v/>
      </c>
      <c r="F220" s="6"/>
      <c r="G220" s="8" t="str">
        <f aca="false">IF(D220="","",IFERROR(INDEX(Товары!$C$2:$C$200,MATCH(D220,Товары!$A$2:$A$200,0)),0))</f>
        <v/>
      </c>
      <c r="H220" s="8" t="str">
        <f aca="false">IF(D220="","",F220*G220)</f>
        <v/>
      </c>
      <c r="I220" s="8" t="str">
        <f aca="false">IF(D220="","",F220*IFERROR(INDEX(Товары!$D$2:$D$200,MATCH(D220,Товары!$A$2:$A$200,0)),0))</f>
        <v/>
      </c>
      <c r="J220" s="8" t="str">
        <f aca="false">IF(D220="","",H220-I220)</f>
        <v/>
      </c>
      <c r="K220" s="7" t="str">
        <f aca="false">IF(A220="","",MONTH(A220))</f>
        <v/>
      </c>
      <c r="L220" s="7" t="str">
        <f aca="false">IF(A220="","",YEAR(A220))</f>
        <v/>
      </c>
      <c r="M220" s="9" t="str">
        <f aca="false">IF(B220="","",B220&amp;"|"&amp;COUNTIF(B$2:B220,B220))</f>
        <v/>
      </c>
    </row>
    <row r="221" customFormat="false" ht="15" hidden="false" customHeight="false" outlineLevel="0" collapsed="false">
      <c r="A221" s="5"/>
      <c r="B221" s="6"/>
      <c r="C221" s="6"/>
      <c r="D221" s="6"/>
      <c r="E221" s="7" t="str">
        <f aca="false">IF(D221="","",IFERROR(INDEX(Товары!$B$2:$B$200,MATCH(D221,Товары!$A$2:$A$200,0)),"нет в справочнике"))</f>
        <v/>
      </c>
      <c r="F221" s="6"/>
      <c r="G221" s="8" t="str">
        <f aca="false">IF(D221="","",IFERROR(INDEX(Товары!$C$2:$C$200,MATCH(D221,Товары!$A$2:$A$200,0)),0))</f>
        <v/>
      </c>
      <c r="H221" s="8" t="str">
        <f aca="false">IF(D221="","",F221*G221)</f>
        <v/>
      </c>
      <c r="I221" s="8" t="str">
        <f aca="false">IF(D221="","",F221*IFERROR(INDEX(Товары!$D$2:$D$200,MATCH(D221,Товары!$A$2:$A$200,0)),0))</f>
        <v/>
      </c>
      <c r="J221" s="8" t="str">
        <f aca="false">IF(D221="","",H221-I221)</f>
        <v/>
      </c>
      <c r="K221" s="7" t="str">
        <f aca="false">IF(A221="","",MONTH(A221))</f>
        <v/>
      </c>
      <c r="L221" s="7" t="str">
        <f aca="false">IF(A221="","",YEAR(A221))</f>
        <v/>
      </c>
      <c r="M221" s="9" t="str">
        <f aca="false">IF(B221="","",B221&amp;"|"&amp;COUNTIF(B$2:B221,B221))</f>
        <v/>
      </c>
    </row>
    <row r="222" customFormat="false" ht="15" hidden="false" customHeight="false" outlineLevel="0" collapsed="false">
      <c r="A222" s="5"/>
      <c r="B222" s="6"/>
      <c r="C222" s="6"/>
      <c r="D222" s="6"/>
      <c r="E222" s="7" t="str">
        <f aca="false">IF(D222="","",IFERROR(INDEX(Товары!$B$2:$B$200,MATCH(D222,Товары!$A$2:$A$200,0)),"нет в справочнике"))</f>
        <v/>
      </c>
      <c r="F222" s="6"/>
      <c r="G222" s="8" t="str">
        <f aca="false">IF(D222="","",IFERROR(INDEX(Товары!$C$2:$C$200,MATCH(D222,Товары!$A$2:$A$200,0)),0))</f>
        <v/>
      </c>
      <c r="H222" s="8" t="str">
        <f aca="false">IF(D222="","",F222*G222)</f>
        <v/>
      </c>
      <c r="I222" s="8" t="str">
        <f aca="false">IF(D222="","",F222*IFERROR(INDEX(Товары!$D$2:$D$200,MATCH(D222,Товары!$A$2:$A$200,0)),0))</f>
        <v/>
      </c>
      <c r="J222" s="8" t="str">
        <f aca="false">IF(D222="","",H222-I222)</f>
        <v/>
      </c>
      <c r="K222" s="7" t="str">
        <f aca="false">IF(A222="","",MONTH(A222))</f>
        <v/>
      </c>
      <c r="L222" s="7" t="str">
        <f aca="false">IF(A222="","",YEAR(A222))</f>
        <v/>
      </c>
      <c r="M222" s="9" t="str">
        <f aca="false">IF(B222="","",B222&amp;"|"&amp;COUNTIF(B$2:B222,B222))</f>
        <v/>
      </c>
    </row>
    <row r="223" customFormat="false" ht="15" hidden="false" customHeight="false" outlineLevel="0" collapsed="false">
      <c r="A223" s="5"/>
      <c r="B223" s="6"/>
      <c r="C223" s="6"/>
      <c r="D223" s="6"/>
      <c r="E223" s="7" t="str">
        <f aca="false">IF(D223="","",IFERROR(INDEX(Товары!$B$2:$B$200,MATCH(D223,Товары!$A$2:$A$200,0)),"нет в справочнике"))</f>
        <v/>
      </c>
      <c r="F223" s="6"/>
      <c r="G223" s="8" t="str">
        <f aca="false">IF(D223="","",IFERROR(INDEX(Товары!$C$2:$C$200,MATCH(D223,Товары!$A$2:$A$200,0)),0))</f>
        <v/>
      </c>
      <c r="H223" s="8" t="str">
        <f aca="false">IF(D223="","",F223*G223)</f>
        <v/>
      </c>
      <c r="I223" s="8" t="str">
        <f aca="false">IF(D223="","",F223*IFERROR(INDEX(Товары!$D$2:$D$200,MATCH(D223,Товары!$A$2:$A$200,0)),0))</f>
        <v/>
      </c>
      <c r="J223" s="8" t="str">
        <f aca="false">IF(D223="","",H223-I223)</f>
        <v/>
      </c>
      <c r="K223" s="7" t="str">
        <f aca="false">IF(A223="","",MONTH(A223))</f>
        <v/>
      </c>
      <c r="L223" s="7" t="str">
        <f aca="false">IF(A223="","",YEAR(A223))</f>
        <v/>
      </c>
      <c r="M223" s="9" t="str">
        <f aca="false">IF(B223="","",B223&amp;"|"&amp;COUNTIF(B$2:B223,B223))</f>
        <v/>
      </c>
    </row>
    <row r="224" customFormat="false" ht="15" hidden="false" customHeight="false" outlineLevel="0" collapsed="false">
      <c r="A224" s="5"/>
      <c r="B224" s="6"/>
      <c r="C224" s="6"/>
      <c r="D224" s="6"/>
      <c r="E224" s="7" t="str">
        <f aca="false">IF(D224="","",IFERROR(INDEX(Товары!$B$2:$B$200,MATCH(D224,Товары!$A$2:$A$200,0)),"нет в справочнике"))</f>
        <v/>
      </c>
      <c r="F224" s="6"/>
      <c r="G224" s="8" t="str">
        <f aca="false">IF(D224="","",IFERROR(INDEX(Товары!$C$2:$C$200,MATCH(D224,Товары!$A$2:$A$200,0)),0))</f>
        <v/>
      </c>
      <c r="H224" s="8" t="str">
        <f aca="false">IF(D224="","",F224*G224)</f>
        <v/>
      </c>
      <c r="I224" s="8" t="str">
        <f aca="false">IF(D224="","",F224*IFERROR(INDEX(Товары!$D$2:$D$200,MATCH(D224,Товары!$A$2:$A$200,0)),0))</f>
        <v/>
      </c>
      <c r="J224" s="8" t="str">
        <f aca="false">IF(D224="","",H224-I224)</f>
        <v/>
      </c>
      <c r="K224" s="7" t="str">
        <f aca="false">IF(A224="","",MONTH(A224))</f>
        <v/>
      </c>
      <c r="L224" s="7" t="str">
        <f aca="false">IF(A224="","",YEAR(A224))</f>
        <v/>
      </c>
      <c r="M224" s="9" t="str">
        <f aca="false">IF(B224="","",B224&amp;"|"&amp;COUNTIF(B$2:B224,B224))</f>
        <v/>
      </c>
    </row>
    <row r="225" customFormat="false" ht="15" hidden="false" customHeight="false" outlineLevel="0" collapsed="false">
      <c r="A225" s="5"/>
      <c r="B225" s="6"/>
      <c r="C225" s="6"/>
      <c r="D225" s="6"/>
      <c r="E225" s="7" t="str">
        <f aca="false">IF(D225="","",IFERROR(INDEX(Товары!$B$2:$B$200,MATCH(D225,Товары!$A$2:$A$200,0)),"нет в справочнике"))</f>
        <v/>
      </c>
      <c r="F225" s="6"/>
      <c r="G225" s="8" t="str">
        <f aca="false">IF(D225="","",IFERROR(INDEX(Товары!$C$2:$C$200,MATCH(D225,Товары!$A$2:$A$200,0)),0))</f>
        <v/>
      </c>
      <c r="H225" s="8" t="str">
        <f aca="false">IF(D225="","",F225*G225)</f>
        <v/>
      </c>
      <c r="I225" s="8" t="str">
        <f aca="false">IF(D225="","",F225*IFERROR(INDEX(Товары!$D$2:$D$200,MATCH(D225,Товары!$A$2:$A$200,0)),0))</f>
        <v/>
      </c>
      <c r="J225" s="8" t="str">
        <f aca="false">IF(D225="","",H225-I225)</f>
        <v/>
      </c>
      <c r="K225" s="7" t="str">
        <f aca="false">IF(A225="","",MONTH(A225))</f>
        <v/>
      </c>
      <c r="L225" s="7" t="str">
        <f aca="false">IF(A225="","",YEAR(A225))</f>
        <v/>
      </c>
      <c r="M225" s="9" t="str">
        <f aca="false">IF(B225="","",B225&amp;"|"&amp;COUNTIF(B$2:B225,B225))</f>
        <v/>
      </c>
    </row>
    <row r="226" customFormat="false" ht="15" hidden="false" customHeight="false" outlineLevel="0" collapsed="false">
      <c r="A226" s="5"/>
      <c r="B226" s="6"/>
      <c r="C226" s="6"/>
      <c r="D226" s="6"/>
      <c r="E226" s="7" t="str">
        <f aca="false">IF(D226="","",IFERROR(INDEX(Товары!$B$2:$B$200,MATCH(D226,Товары!$A$2:$A$200,0)),"нет в справочнике"))</f>
        <v/>
      </c>
      <c r="F226" s="6"/>
      <c r="G226" s="8" t="str">
        <f aca="false">IF(D226="","",IFERROR(INDEX(Товары!$C$2:$C$200,MATCH(D226,Товары!$A$2:$A$200,0)),0))</f>
        <v/>
      </c>
      <c r="H226" s="8" t="str">
        <f aca="false">IF(D226="","",F226*G226)</f>
        <v/>
      </c>
      <c r="I226" s="8" t="str">
        <f aca="false">IF(D226="","",F226*IFERROR(INDEX(Товары!$D$2:$D$200,MATCH(D226,Товары!$A$2:$A$200,0)),0))</f>
        <v/>
      </c>
      <c r="J226" s="8" t="str">
        <f aca="false">IF(D226="","",H226-I226)</f>
        <v/>
      </c>
      <c r="K226" s="7" t="str">
        <f aca="false">IF(A226="","",MONTH(A226))</f>
        <v/>
      </c>
      <c r="L226" s="7" t="str">
        <f aca="false">IF(A226="","",YEAR(A226))</f>
        <v/>
      </c>
      <c r="M226" s="9" t="str">
        <f aca="false">IF(B226="","",B226&amp;"|"&amp;COUNTIF(B$2:B226,B226))</f>
        <v/>
      </c>
    </row>
    <row r="227" customFormat="false" ht="15" hidden="false" customHeight="false" outlineLevel="0" collapsed="false">
      <c r="A227" s="5"/>
      <c r="B227" s="6"/>
      <c r="C227" s="6"/>
      <c r="D227" s="6"/>
      <c r="E227" s="7" t="str">
        <f aca="false">IF(D227="","",IFERROR(INDEX(Товары!$B$2:$B$200,MATCH(D227,Товары!$A$2:$A$200,0)),"нет в справочнике"))</f>
        <v/>
      </c>
      <c r="F227" s="6"/>
      <c r="G227" s="8" t="str">
        <f aca="false">IF(D227="","",IFERROR(INDEX(Товары!$C$2:$C$200,MATCH(D227,Товары!$A$2:$A$200,0)),0))</f>
        <v/>
      </c>
      <c r="H227" s="8" t="str">
        <f aca="false">IF(D227="","",F227*G227)</f>
        <v/>
      </c>
      <c r="I227" s="8" t="str">
        <f aca="false">IF(D227="","",F227*IFERROR(INDEX(Товары!$D$2:$D$200,MATCH(D227,Товары!$A$2:$A$200,0)),0))</f>
        <v/>
      </c>
      <c r="J227" s="8" t="str">
        <f aca="false">IF(D227="","",H227-I227)</f>
        <v/>
      </c>
      <c r="K227" s="7" t="str">
        <f aca="false">IF(A227="","",MONTH(A227))</f>
        <v/>
      </c>
      <c r="L227" s="7" t="str">
        <f aca="false">IF(A227="","",YEAR(A227))</f>
        <v/>
      </c>
      <c r="M227" s="9" t="str">
        <f aca="false">IF(B227="","",B227&amp;"|"&amp;COUNTIF(B$2:B227,B227))</f>
        <v/>
      </c>
    </row>
    <row r="228" customFormat="false" ht="15" hidden="false" customHeight="false" outlineLevel="0" collapsed="false">
      <c r="A228" s="5"/>
      <c r="B228" s="6"/>
      <c r="C228" s="6"/>
      <c r="D228" s="6"/>
      <c r="E228" s="7" t="str">
        <f aca="false">IF(D228="","",IFERROR(INDEX(Товары!$B$2:$B$200,MATCH(D228,Товары!$A$2:$A$200,0)),"нет в справочнике"))</f>
        <v/>
      </c>
      <c r="F228" s="6"/>
      <c r="G228" s="8" t="str">
        <f aca="false">IF(D228="","",IFERROR(INDEX(Товары!$C$2:$C$200,MATCH(D228,Товары!$A$2:$A$200,0)),0))</f>
        <v/>
      </c>
      <c r="H228" s="8" t="str">
        <f aca="false">IF(D228="","",F228*G228)</f>
        <v/>
      </c>
      <c r="I228" s="8" t="str">
        <f aca="false">IF(D228="","",F228*IFERROR(INDEX(Товары!$D$2:$D$200,MATCH(D228,Товары!$A$2:$A$200,0)),0))</f>
        <v/>
      </c>
      <c r="J228" s="8" t="str">
        <f aca="false">IF(D228="","",H228-I228)</f>
        <v/>
      </c>
      <c r="K228" s="7" t="str">
        <f aca="false">IF(A228="","",MONTH(A228))</f>
        <v/>
      </c>
      <c r="L228" s="7" t="str">
        <f aca="false">IF(A228="","",YEAR(A228))</f>
        <v/>
      </c>
      <c r="M228" s="9" t="str">
        <f aca="false">IF(B228="","",B228&amp;"|"&amp;COUNTIF(B$2:B228,B228))</f>
        <v/>
      </c>
    </row>
    <row r="229" customFormat="false" ht="15" hidden="false" customHeight="false" outlineLevel="0" collapsed="false">
      <c r="A229" s="5"/>
      <c r="B229" s="6"/>
      <c r="C229" s="6"/>
      <c r="D229" s="6"/>
      <c r="E229" s="7" t="str">
        <f aca="false">IF(D229="","",IFERROR(INDEX(Товары!$B$2:$B$200,MATCH(D229,Товары!$A$2:$A$200,0)),"нет в справочнике"))</f>
        <v/>
      </c>
      <c r="F229" s="6"/>
      <c r="G229" s="8" t="str">
        <f aca="false">IF(D229="","",IFERROR(INDEX(Товары!$C$2:$C$200,MATCH(D229,Товары!$A$2:$A$200,0)),0))</f>
        <v/>
      </c>
      <c r="H229" s="8" t="str">
        <f aca="false">IF(D229="","",F229*G229)</f>
        <v/>
      </c>
      <c r="I229" s="8" t="str">
        <f aca="false">IF(D229="","",F229*IFERROR(INDEX(Товары!$D$2:$D$200,MATCH(D229,Товары!$A$2:$A$200,0)),0))</f>
        <v/>
      </c>
      <c r="J229" s="8" t="str">
        <f aca="false">IF(D229="","",H229-I229)</f>
        <v/>
      </c>
      <c r="K229" s="7" t="str">
        <f aca="false">IF(A229="","",MONTH(A229))</f>
        <v/>
      </c>
      <c r="L229" s="7" t="str">
        <f aca="false">IF(A229="","",YEAR(A229))</f>
        <v/>
      </c>
      <c r="M229" s="9" t="str">
        <f aca="false">IF(B229="","",B229&amp;"|"&amp;COUNTIF(B$2:B229,B229))</f>
        <v/>
      </c>
    </row>
    <row r="230" customFormat="false" ht="15" hidden="false" customHeight="false" outlineLevel="0" collapsed="false">
      <c r="A230" s="5"/>
      <c r="B230" s="6"/>
      <c r="C230" s="6"/>
      <c r="D230" s="6"/>
      <c r="E230" s="7" t="str">
        <f aca="false">IF(D230="","",IFERROR(INDEX(Товары!$B$2:$B$200,MATCH(D230,Товары!$A$2:$A$200,0)),"нет в справочнике"))</f>
        <v/>
      </c>
      <c r="F230" s="6"/>
      <c r="G230" s="8" t="str">
        <f aca="false">IF(D230="","",IFERROR(INDEX(Товары!$C$2:$C$200,MATCH(D230,Товары!$A$2:$A$200,0)),0))</f>
        <v/>
      </c>
      <c r="H230" s="8" t="str">
        <f aca="false">IF(D230="","",F230*G230)</f>
        <v/>
      </c>
      <c r="I230" s="8" t="str">
        <f aca="false">IF(D230="","",F230*IFERROR(INDEX(Товары!$D$2:$D$200,MATCH(D230,Товары!$A$2:$A$200,0)),0))</f>
        <v/>
      </c>
      <c r="J230" s="8" t="str">
        <f aca="false">IF(D230="","",H230-I230)</f>
        <v/>
      </c>
      <c r="K230" s="7" t="str">
        <f aca="false">IF(A230="","",MONTH(A230))</f>
        <v/>
      </c>
      <c r="L230" s="7" t="str">
        <f aca="false">IF(A230="","",YEAR(A230))</f>
        <v/>
      </c>
      <c r="M230" s="9" t="str">
        <f aca="false">IF(B230="","",B230&amp;"|"&amp;COUNTIF(B$2:B230,B230))</f>
        <v/>
      </c>
    </row>
    <row r="231" customFormat="false" ht="15" hidden="false" customHeight="false" outlineLevel="0" collapsed="false">
      <c r="A231" s="5"/>
      <c r="B231" s="6"/>
      <c r="C231" s="6"/>
      <c r="D231" s="6"/>
      <c r="E231" s="7" t="str">
        <f aca="false">IF(D231="","",IFERROR(INDEX(Товары!$B$2:$B$200,MATCH(D231,Товары!$A$2:$A$200,0)),"нет в справочнике"))</f>
        <v/>
      </c>
      <c r="F231" s="6"/>
      <c r="G231" s="8" t="str">
        <f aca="false">IF(D231="","",IFERROR(INDEX(Товары!$C$2:$C$200,MATCH(D231,Товары!$A$2:$A$200,0)),0))</f>
        <v/>
      </c>
      <c r="H231" s="8" t="str">
        <f aca="false">IF(D231="","",F231*G231)</f>
        <v/>
      </c>
      <c r="I231" s="8" t="str">
        <f aca="false">IF(D231="","",F231*IFERROR(INDEX(Товары!$D$2:$D$200,MATCH(D231,Товары!$A$2:$A$200,0)),0))</f>
        <v/>
      </c>
      <c r="J231" s="8" t="str">
        <f aca="false">IF(D231="","",H231-I231)</f>
        <v/>
      </c>
      <c r="K231" s="7" t="str">
        <f aca="false">IF(A231="","",MONTH(A231))</f>
        <v/>
      </c>
      <c r="L231" s="7" t="str">
        <f aca="false">IF(A231="","",YEAR(A231))</f>
        <v/>
      </c>
      <c r="M231" s="9" t="str">
        <f aca="false">IF(B231="","",B231&amp;"|"&amp;COUNTIF(B$2:B231,B231))</f>
        <v/>
      </c>
    </row>
    <row r="232" customFormat="false" ht="15" hidden="false" customHeight="false" outlineLevel="0" collapsed="false">
      <c r="A232" s="5"/>
      <c r="B232" s="6"/>
      <c r="C232" s="6"/>
      <c r="D232" s="6"/>
      <c r="E232" s="7" t="str">
        <f aca="false">IF(D232="","",IFERROR(INDEX(Товары!$B$2:$B$200,MATCH(D232,Товары!$A$2:$A$200,0)),"нет в справочнике"))</f>
        <v/>
      </c>
      <c r="F232" s="6"/>
      <c r="G232" s="8" t="str">
        <f aca="false">IF(D232="","",IFERROR(INDEX(Товары!$C$2:$C$200,MATCH(D232,Товары!$A$2:$A$200,0)),0))</f>
        <v/>
      </c>
      <c r="H232" s="8" t="str">
        <f aca="false">IF(D232="","",F232*G232)</f>
        <v/>
      </c>
      <c r="I232" s="8" t="str">
        <f aca="false">IF(D232="","",F232*IFERROR(INDEX(Товары!$D$2:$D$200,MATCH(D232,Товары!$A$2:$A$200,0)),0))</f>
        <v/>
      </c>
      <c r="J232" s="8" t="str">
        <f aca="false">IF(D232="","",H232-I232)</f>
        <v/>
      </c>
      <c r="K232" s="7" t="str">
        <f aca="false">IF(A232="","",MONTH(A232))</f>
        <v/>
      </c>
      <c r="L232" s="7" t="str">
        <f aca="false">IF(A232="","",YEAR(A232))</f>
        <v/>
      </c>
      <c r="M232" s="9" t="str">
        <f aca="false">IF(B232="","",B232&amp;"|"&amp;COUNTIF(B$2:B232,B232))</f>
        <v/>
      </c>
    </row>
    <row r="233" customFormat="false" ht="15" hidden="false" customHeight="false" outlineLevel="0" collapsed="false">
      <c r="A233" s="5"/>
      <c r="B233" s="6"/>
      <c r="C233" s="6"/>
      <c r="D233" s="6"/>
      <c r="E233" s="7" t="str">
        <f aca="false">IF(D233="","",IFERROR(INDEX(Товары!$B$2:$B$200,MATCH(D233,Товары!$A$2:$A$200,0)),"нет в справочнике"))</f>
        <v/>
      </c>
      <c r="F233" s="6"/>
      <c r="G233" s="8" t="str">
        <f aca="false">IF(D233="","",IFERROR(INDEX(Товары!$C$2:$C$200,MATCH(D233,Товары!$A$2:$A$200,0)),0))</f>
        <v/>
      </c>
      <c r="H233" s="8" t="str">
        <f aca="false">IF(D233="","",F233*G233)</f>
        <v/>
      </c>
      <c r="I233" s="8" t="str">
        <f aca="false">IF(D233="","",F233*IFERROR(INDEX(Товары!$D$2:$D$200,MATCH(D233,Товары!$A$2:$A$200,0)),0))</f>
        <v/>
      </c>
      <c r="J233" s="8" t="str">
        <f aca="false">IF(D233="","",H233-I233)</f>
        <v/>
      </c>
      <c r="K233" s="7" t="str">
        <f aca="false">IF(A233="","",MONTH(A233))</f>
        <v/>
      </c>
      <c r="L233" s="7" t="str">
        <f aca="false">IF(A233="","",YEAR(A233))</f>
        <v/>
      </c>
      <c r="M233" s="9" t="str">
        <f aca="false">IF(B233="","",B233&amp;"|"&amp;COUNTIF(B$2:B233,B233))</f>
        <v/>
      </c>
    </row>
    <row r="234" customFormat="false" ht="15" hidden="false" customHeight="false" outlineLevel="0" collapsed="false">
      <c r="A234" s="5"/>
      <c r="B234" s="6"/>
      <c r="C234" s="6"/>
      <c r="D234" s="6"/>
      <c r="E234" s="7" t="str">
        <f aca="false">IF(D234="","",IFERROR(INDEX(Товары!$B$2:$B$200,MATCH(D234,Товары!$A$2:$A$200,0)),"нет в справочнике"))</f>
        <v/>
      </c>
      <c r="F234" s="6"/>
      <c r="G234" s="8" t="str">
        <f aca="false">IF(D234="","",IFERROR(INDEX(Товары!$C$2:$C$200,MATCH(D234,Товары!$A$2:$A$200,0)),0))</f>
        <v/>
      </c>
      <c r="H234" s="8" t="str">
        <f aca="false">IF(D234="","",F234*G234)</f>
        <v/>
      </c>
      <c r="I234" s="8" t="str">
        <f aca="false">IF(D234="","",F234*IFERROR(INDEX(Товары!$D$2:$D$200,MATCH(D234,Товары!$A$2:$A$200,0)),0))</f>
        <v/>
      </c>
      <c r="J234" s="8" t="str">
        <f aca="false">IF(D234="","",H234-I234)</f>
        <v/>
      </c>
      <c r="K234" s="7" t="str">
        <f aca="false">IF(A234="","",MONTH(A234))</f>
        <v/>
      </c>
      <c r="L234" s="7" t="str">
        <f aca="false">IF(A234="","",YEAR(A234))</f>
        <v/>
      </c>
      <c r="M234" s="9" t="str">
        <f aca="false">IF(B234="","",B234&amp;"|"&amp;COUNTIF(B$2:B234,B234))</f>
        <v/>
      </c>
    </row>
    <row r="235" customFormat="false" ht="15" hidden="false" customHeight="false" outlineLevel="0" collapsed="false">
      <c r="A235" s="5"/>
      <c r="B235" s="6"/>
      <c r="C235" s="6"/>
      <c r="D235" s="6"/>
      <c r="E235" s="7" t="str">
        <f aca="false">IF(D235="","",IFERROR(INDEX(Товары!$B$2:$B$200,MATCH(D235,Товары!$A$2:$A$200,0)),"нет в справочнике"))</f>
        <v/>
      </c>
      <c r="F235" s="6"/>
      <c r="G235" s="8" t="str">
        <f aca="false">IF(D235="","",IFERROR(INDEX(Товары!$C$2:$C$200,MATCH(D235,Товары!$A$2:$A$200,0)),0))</f>
        <v/>
      </c>
      <c r="H235" s="8" t="str">
        <f aca="false">IF(D235="","",F235*G235)</f>
        <v/>
      </c>
      <c r="I235" s="8" t="str">
        <f aca="false">IF(D235="","",F235*IFERROR(INDEX(Товары!$D$2:$D$200,MATCH(D235,Товары!$A$2:$A$200,0)),0))</f>
        <v/>
      </c>
      <c r="J235" s="8" t="str">
        <f aca="false">IF(D235="","",H235-I235)</f>
        <v/>
      </c>
      <c r="K235" s="7" t="str">
        <f aca="false">IF(A235="","",MONTH(A235))</f>
        <v/>
      </c>
      <c r="L235" s="7" t="str">
        <f aca="false">IF(A235="","",YEAR(A235))</f>
        <v/>
      </c>
      <c r="M235" s="9" t="str">
        <f aca="false">IF(B235="","",B235&amp;"|"&amp;COUNTIF(B$2:B235,B235))</f>
        <v/>
      </c>
    </row>
    <row r="236" customFormat="false" ht="15" hidden="false" customHeight="false" outlineLevel="0" collapsed="false">
      <c r="A236" s="5"/>
      <c r="B236" s="6"/>
      <c r="C236" s="6"/>
      <c r="D236" s="6"/>
      <c r="E236" s="7" t="str">
        <f aca="false">IF(D236="","",IFERROR(INDEX(Товары!$B$2:$B$200,MATCH(D236,Товары!$A$2:$A$200,0)),"нет в справочнике"))</f>
        <v/>
      </c>
      <c r="F236" s="6"/>
      <c r="G236" s="8" t="str">
        <f aca="false">IF(D236="","",IFERROR(INDEX(Товары!$C$2:$C$200,MATCH(D236,Товары!$A$2:$A$200,0)),0))</f>
        <v/>
      </c>
      <c r="H236" s="8" t="str">
        <f aca="false">IF(D236="","",F236*G236)</f>
        <v/>
      </c>
      <c r="I236" s="8" t="str">
        <f aca="false">IF(D236="","",F236*IFERROR(INDEX(Товары!$D$2:$D$200,MATCH(D236,Товары!$A$2:$A$200,0)),0))</f>
        <v/>
      </c>
      <c r="J236" s="8" t="str">
        <f aca="false">IF(D236="","",H236-I236)</f>
        <v/>
      </c>
      <c r="K236" s="7" t="str">
        <f aca="false">IF(A236="","",MONTH(A236))</f>
        <v/>
      </c>
      <c r="L236" s="7" t="str">
        <f aca="false">IF(A236="","",YEAR(A236))</f>
        <v/>
      </c>
      <c r="M236" s="9" t="str">
        <f aca="false">IF(B236="","",B236&amp;"|"&amp;COUNTIF(B$2:B236,B236))</f>
        <v/>
      </c>
    </row>
    <row r="237" customFormat="false" ht="15" hidden="false" customHeight="false" outlineLevel="0" collapsed="false">
      <c r="A237" s="5"/>
      <c r="B237" s="6"/>
      <c r="C237" s="6"/>
      <c r="D237" s="6"/>
      <c r="E237" s="7" t="str">
        <f aca="false">IF(D237="","",IFERROR(INDEX(Товары!$B$2:$B$200,MATCH(D237,Товары!$A$2:$A$200,0)),"нет в справочнике"))</f>
        <v/>
      </c>
      <c r="F237" s="6"/>
      <c r="G237" s="8" t="str">
        <f aca="false">IF(D237="","",IFERROR(INDEX(Товары!$C$2:$C$200,MATCH(D237,Товары!$A$2:$A$200,0)),0))</f>
        <v/>
      </c>
      <c r="H237" s="8" t="str">
        <f aca="false">IF(D237="","",F237*G237)</f>
        <v/>
      </c>
      <c r="I237" s="8" t="str">
        <f aca="false">IF(D237="","",F237*IFERROR(INDEX(Товары!$D$2:$D$200,MATCH(D237,Товары!$A$2:$A$200,0)),0))</f>
        <v/>
      </c>
      <c r="J237" s="8" t="str">
        <f aca="false">IF(D237="","",H237-I237)</f>
        <v/>
      </c>
      <c r="K237" s="7" t="str">
        <f aca="false">IF(A237="","",MONTH(A237))</f>
        <v/>
      </c>
      <c r="L237" s="7" t="str">
        <f aca="false">IF(A237="","",YEAR(A237))</f>
        <v/>
      </c>
      <c r="M237" s="9" t="str">
        <f aca="false">IF(B237="","",B237&amp;"|"&amp;COUNTIF(B$2:B237,B237))</f>
        <v/>
      </c>
    </row>
    <row r="238" customFormat="false" ht="15" hidden="false" customHeight="false" outlineLevel="0" collapsed="false">
      <c r="A238" s="5"/>
      <c r="B238" s="6"/>
      <c r="C238" s="6"/>
      <c r="D238" s="6"/>
      <c r="E238" s="7" t="str">
        <f aca="false">IF(D238="","",IFERROR(INDEX(Товары!$B$2:$B$200,MATCH(D238,Товары!$A$2:$A$200,0)),"нет в справочнике"))</f>
        <v/>
      </c>
      <c r="F238" s="6"/>
      <c r="G238" s="8" t="str">
        <f aca="false">IF(D238="","",IFERROR(INDEX(Товары!$C$2:$C$200,MATCH(D238,Товары!$A$2:$A$200,0)),0))</f>
        <v/>
      </c>
      <c r="H238" s="8" t="str">
        <f aca="false">IF(D238="","",F238*G238)</f>
        <v/>
      </c>
      <c r="I238" s="8" t="str">
        <f aca="false">IF(D238="","",F238*IFERROR(INDEX(Товары!$D$2:$D$200,MATCH(D238,Товары!$A$2:$A$200,0)),0))</f>
        <v/>
      </c>
      <c r="J238" s="8" t="str">
        <f aca="false">IF(D238="","",H238-I238)</f>
        <v/>
      </c>
      <c r="K238" s="7" t="str">
        <f aca="false">IF(A238="","",MONTH(A238))</f>
        <v/>
      </c>
      <c r="L238" s="7" t="str">
        <f aca="false">IF(A238="","",YEAR(A238))</f>
        <v/>
      </c>
      <c r="M238" s="9" t="str">
        <f aca="false">IF(B238="","",B238&amp;"|"&amp;COUNTIF(B$2:B238,B238))</f>
        <v/>
      </c>
    </row>
    <row r="239" customFormat="false" ht="15" hidden="false" customHeight="false" outlineLevel="0" collapsed="false">
      <c r="A239" s="5"/>
      <c r="B239" s="6"/>
      <c r="C239" s="6"/>
      <c r="D239" s="6"/>
      <c r="E239" s="7" t="str">
        <f aca="false">IF(D239="","",IFERROR(INDEX(Товары!$B$2:$B$200,MATCH(D239,Товары!$A$2:$A$200,0)),"нет в справочнике"))</f>
        <v/>
      </c>
      <c r="F239" s="6"/>
      <c r="G239" s="8" t="str">
        <f aca="false">IF(D239="","",IFERROR(INDEX(Товары!$C$2:$C$200,MATCH(D239,Товары!$A$2:$A$200,0)),0))</f>
        <v/>
      </c>
      <c r="H239" s="8" t="str">
        <f aca="false">IF(D239="","",F239*G239)</f>
        <v/>
      </c>
      <c r="I239" s="8" t="str">
        <f aca="false">IF(D239="","",F239*IFERROR(INDEX(Товары!$D$2:$D$200,MATCH(D239,Товары!$A$2:$A$200,0)),0))</f>
        <v/>
      </c>
      <c r="J239" s="8" t="str">
        <f aca="false">IF(D239="","",H239-I239)</f>
        <v/>
      </c>
      <c r="K239" s="7" t="str">
        <f aca="false">IF(A239="","",MONTH(A239))</f>
        <v/>
      </c>
      <c r="L239" s="7" t="str">
        <f aca="false">IF(A239="","",YEAR(A239))</f>
        <v/>
      </c>
      <c r="M239" s="9" t="str">
        <f aca="false">IF(B239="","",B239&amp;"|"&amp;COUNTIF(B$2:B239,B239))</f>
        <v/>
      </c>
    </row>
    <row r="240" customFormat="false" ht="15" hidden="false" customHeight="false" outlineLevel="0" collapsed="false">
      <c r="A240" s="5"/>
      <c r="B240" s="6"/>
      <c r="C240" s="6"/>
      <c r="D240" s="6"/>
      <c r="E240" s="7" t="str">
        <f aca="false">IF(D240="","",IFERROR(INDEX(Товары!$B$2:$B$200,MATCH(D240,Товары!$A$2:$A$200,0)),"нет в справочнике"))</f>
        <v/>
      </c>
      <c r="F240" s="6"/>
      <c r="G240" s="8" t="str">
        <f aca="false">IF(D240="","",IFERROR(INDEX(Товары!$C$2:$C$200,MATCH(D240,Товары!$A$2:$A$200,0)),0))</f>
        <v/>
      </c>
      <c r="H240" s="8" t="str">
        <f aca="false">IF(D240="","",F240*G240)</f>
        <v/>
      </c>
      <c r="I240" s="8" t="str">
        <f aca="false">IF(D240="","",F240*IFERROR(INDEX(Товары!$D$2:$D$200,MATCH(D240,Товары!$A$2:$A$200,0)),0))</f>
        <v/>
      </c>
      <c r="J240" s="8" t="str">
        <f aca="false">IF(D240="","",H240-I240)</f>
        <v/>
      </c>
      <c r="K240" s="7" t="str">
        <f aca="false">IF(A240="","",MONTH(A240))</f>
        <v/>
      </c>
      <c r="L240" s="7" t="str">
        <f aca="false">IF(A240="","",YEAR(A240))</f>
        <v/>
      </c>
      <c r="M240" s="9" t="str">
        <f aca="false">IF(B240="","",B240&amp;"|"&amp;COUNTIF(B$2:B240,B240))</f>
        <v/>
      </c>
    </row>
    <row r="241" customFormat="false" ht="15" hidden="false" customHeight="false" outlineLevel="0" collapsed="false">
      <c r="A241" s="5"/>
      <c r="B241" s="6"/>
      <c r="C241" s="6"/>
      <c r="D241" s="6"/>
      <c r="E241" s="7" t="str">
        <f aca="false">IF(D241="","",IFERROR(INDEX(Товары!$B$2:$B$200,MATCH(D241,Товары!$A$2:$A$200,0)),"нет в справочнике"))</f>
        <v/>
      </c>
      <c r="F241" s="6"/>
      <c r="G241" s="8" t="str">
        <f aca="false">IF(D241="","",IFERROR(INDEX(Товары!$C$2:$C$200,MATCH(D241,Товары!$A$2:$A$200,0)),0))</f>
        <v/>
      </c>
      <c r="H241" s="8" t="str">
        <f aca="false">IF(D241="","",F241*G241)</f>
        <v/>
      </c>
      <c r="I241" s="8" t="str">
        <f aca="false">IF(D241="","",F241*IFERROR(INDEX(Товары!$D$2:$D$200,MATCH(D241,Товары!$A$2:$A$200,0)),0))</f>
        <v/>
      </c>
      <c r="J241" s="8" t="str">
        <f aca="false">IF(D241="","",H241-I241)</f>
        <v/>
      </c>
      <c r="K241" s="7" t="str">
        <f aca="false">IF(A241="","",MONTH(A241))</f>
        <v/>
      </c>
      <c r="L241" s="7" t="str">
        <f aca="false">IF(A241="","",YEAR(A241))</f>
        <v/>
      </c>
      <c r="M241" s="9" t="str">
        <f aca="false">IF(B241="","",B241&amp;"|"&amp;COUNTIF(B$2:B241,B241))</f>
        <v/>
      </c>
    </row>
    <row r="242" customFormat="false" ht="15" hidden="false" customHeight="false" outlineLevel="0" collapsed="false">
      <c r="A242" s="5"/>
      <c r="B242" s="6"/>
      <c r="C242" s="6"/>
      <c r="D242" s="6"/>
      <c r="E242" s="7" t="str">
        <f aca="false">IF(D242="","",IFERROR(INDEX(Товары!$B$2:$B$200,MATCH(D242,Товары!$A$2:$A$200,0)),"нет в справочнике"))</f>
        <v/>
      </c>
      <c r="F242" s="6"/>
      <c r="G242" s="8" t="str">
        <f aca="false">IF(D242="","",IFERROR(INDEX(Товары!$C$2:$C$200,MATCH(D242,Товары!$A$2:$A$200,0)),0))</f>
        <v/>
      </c>
      <c r="H242" s="8" t="str">
        <f aca="false">IF(D242="","",F242*G242)</f>
        <v/>
      </c>
      <c r="I242" s="8" t="str">
        <f aca="false">IF(D242="","",F242*IFERROR(INDEX(Товары!$D$2:$D$200,MATCH(D242,Товары!$A$2:$A$200,0)),0))</f>
        <v/>
      </c>
      <c r="J242" s="8" t="str">
        <f aca="false">IF(D242="","",H242-I242)</f>
        <v/>
      </c>
      <c r="K242" s="7" t="str">
        <f aca="false">IF(A242="","",MONTH(A242))</f>
        <v/>
      </c>
      <c r="L242" s="7" t="str">
        <f aca="false">IF(A242="","",YEAR(A242))</f>
        <v/>
      </c>
      <c r="M242" s="9" t="str">
        <f aca="false">IF(B242="","",B242&amp;"|"&amp;COUNTIF(B$2:B242,B242))</f>
        <v/>
      </c>
    </row>
    <row r="243" customFormat="false" ht="15" hidden="false" customHeight="false" outlineLevel="0" collapsed="false">
      <c r="A243" s="5"/>
      <c r="B243" s="6"/>
      <c r="C243" s="6"/>
      <c r="D243" s="6"/>
      <c r="E243" s="7" t="str">
        <f aca="false">IF(D243="","",IFERROR(INDEX(Товары!$B$2:$B$200,MATCH(D243,Товары!$A$2:$A$200,0)),"нет в справочнике"))</f>
        <v/>
      </c>
      <c r="F243" s="6"/>
      <c r="G243" s="8" t="str">
        <f aca="false">IF(D243="","",IFERROR(INDEX(Товары!$C$2:$C$200,MATCH(D243,Товары!$A$2:$A$200,0)),0))</f>
        <v/>
      </c>
      <c r="H243" s="8" t="str">
        <f aca="false">IF(D243="","",F243*G243)</f>
        <v/>
      </c>
      <c r="I243" s="8" t="str">
        <f aca="false">IF(D243="","",F243*IFERROR(INDEX(Товары!$D$2:$D$200,MATCH(D243,Товары!$A$2:$A$200,0)),0))</f>
        <v/>
      </c>
      <c r="J243" s="8" t="str">
        <f aca="false">IF(D243="","",H243-I243)</f>
        <v/>
      </c>
      <c r="K243" s="7" t="str">
        <f aca="false">IF(A243="","",MONTH(A243))</f>
        <v/>
      </c>
      <c r="L243" s="7" t="str">
        <f aca="false">IF(A243="","",YEAR(A243))</f>
        <v/>
      </c>
      <c r="M243" s="9" t="str">
        <f aca="false">IF(B243="","",B243&amp;"|"&amp;COUNTIF(B$2:B243,B243))</f>
        <v/>
      </c>
    </row>
    <row r="244" customFormat="false" ht="15" hidden="false" customHeight="false" outlineLevel="0" collapsed="false">
      <c r="A244" s="5"/>
      <c r="B244" s="6"/>
      <c r="C244" s="6"/>
      <c r="D244" s="6"/>
      <c r="E244" s="7" t="str">
        <f aca="false">IF(D244="","",IFERROR(INDEX(Товары!$B$2:$B$200,MATCH(D244,Товары!$A$2:$A$200,0)),"нет в справочнике"))</f>
        <v/>
      </c>
      <c r="F244" s="6"/>
      <c r="G244" s="8" t="str">
        <f aca="false">IF(D244="","",IFERROR(INDEX(Товары!$C$2:$C$200,MATCH(D244,Товары!$A$2:$A$200,0)),0))</f>
        <v/>
      </c>
      <c r="H244" s="8" t="str">
        <f aca="false">IF(D244="","",F244*G244)</f>
        <v/>
      </c>
      <c r="I244" s="8" t="str">
        <f aca="false">IF(D244="","",F244*IFERROR(INDEX(Товары!$D$2:$D$200,MATCH(D244,Товары!$A$2:$A$200,0)),0))</f>
        <v/>
      </c>
      <c r="J244" s="8" t="str">
        <f aca="false">IF(D244="","",H244-I244)</f>
        <v/>
      </c>
      <c r="K244" s="7" t="str">
        <f aca="false">IF(A244="","",MONTH(A244))</f>
        <v/>
      </c>
      <c r="L244" s="7" t="str">
        <f aca="false">IF(A244="","",YEAR(A244))</f>
        <v/>
      </c>
      <c r="M244" s="9" t="str">
        <f aca="false">IF(B244="","",B244&amp;"|"&amp;COUNTIF(B$2:B244,B244))</f>
        <v/>
      </c>
    </row>
    <row r="245" customFormat="false" ht="15" hidden="false" customHeight="false" outlineLevel="0" collapsed="false">
      <c r="A245" s="5"/>
      <c r="B245" s="6"/>
      <c r="C245" s="6"/>
      <c r="D245" s="6"/>
      <c r="E245" s="7" t="str">
        <f aca="false">IF(D245="","",IFERROR(INDEX(Товары!$B$2:$B$200,MATCH(D245,Товары!$A$2:$A$200,0)),"нет в справочнике"))</f>
        <v/>
      </c>
      <c r="F245" s="6"/>
      <c r="G245" s="8" t="str">
        <f aca="false">IF(D245="","",IFERROR(INDEX(Товары!$C$2:$C$200,MATCH(D245,Товары!$A$2:$A$200,0)),0))</f>
        <v/>
      </c>
      <c r="H245" s="8" t="str">
        <f aca="false">IF(D245="","",F245*G245)</f>
        <v/>
      </c>
      <c r="I245" s="8" t="str">
        <f aca="false">IF(D245="","",F245*IFERROR(INDEX(Товары!$D$2:$D$200,MATCH(D245,Товары!$A$2:$A$200,0)),0))</f>
        <v/>
      </c>
      <c r="J245" s="8" t="str">
        <f aca="false">IF(D245="","",H245-I245)</f>
        <v/>
      </c>
      <c r="K245" s="7" t="str">
        <f aca="false">IF(A245="","",MONTH(A245))</f>
        <v/>
      </c>
      <c r="L245" s="7" t="str">
        <f aca="false">IF(A245="","",YEAR(A245))</f>
        <v/>
      </c>
      <c r="M245" s="9" t="str">
        <f aca="false">IF(B245="","",B245&amp;"|"&amp;COUNTIF(B$2:B245,B245))</f>
        <v/>
      </c>
    </row>
    <row r="246" customFormat="false" ht="15" hidden="false" customHeight="false" outlineLevel="0" collapsed="false">
      <c r="A246" s="5"/>
      <c r="B246" s="6"/>
      <c r="C246" s="6"/>
      <c r="D246" s="6"/>
      <c r="E246" s="7" t="str">
        <f aca="false">IF(D246="","",IFERROR(INDEX(Товары!$B$2:$B$200,MATCH(D246,Товары!$A$2:$A$200,0)),"нет в справочнике"))</f>
        <v/>
      </c>
      <c r="F246" s="6"/>
      <c r="G246" s="8" t="str">
        <f aca="false">IF(D246="","",IFERROR(INDEX(Товары!$C$2:$C$200,MATCH(D246,Товары!$A$2:$A$200,0)),0))</f>
        <v/>
      </c>
      <c r="H246" s="8" t="str">
        <f aca="false">IF(D246="","",F246*G246)</f>
        <v/>
      </c>
      <c r="I246" s="8" t="str">
        <f aca="false">IF(D246="","",F246*IFERROR(INDEX(Товары!$D$2:$D$200,MATCH(D246,Товары!$A$2:$A$200,0)),0))</f>
        <v/>
      </c>
      <c r="J246" s="8" t="str">
        <f aca="false">IF(D246="","",H246-I246)</f>
        <v/>
      </c>
      <c r="K246" s="7" t="str">
        <f aca="false">IF(A246="","",MONTH(A246))</f>
        <v/>
      </c>
      <c r="L246" s="7" t="str">
        <f aca="false">IF(A246="","",YEAR(A246))</f>
        <v/>
      </c>
      <c r="M246" s="9" t="str">
        <f aca="false">IF(B246="","",B246&amp;"|"&amp;COUNTIF(B$2:B246,B246))</f>
        <v/>
      </c>
    </row>
    <row r="247" customFormat="false" ht="15" hidden="false" customHeight="false" outlineLevel="0" collapsed="false">
      <c r="A247" s="5"/>
      <c r="B247" s="6"/>
      <c r="C247" s="6"/>
      <c r="D247" s="6"/>
      <c r="E247" s="7" t="str">
        <f aca="false">IF(D247="","",IFERROR(INDEX(Товары!$B$2:$B$200,MATCH(D247,Товары!$A$2:$A$200,0)),"нет в справочнике"))</f>
        <v/>
      </c>
      <c r="F247" s="6"/>
      <c r="G247" s="8" t="str">
        <f aca="false">IF(D247="","",IFERROR(INDEX(Товары!$C$2:$C$200,MATCH(D247,Товары!$A$2:$A$200,0)),0))</f>
        <v/>
      </c>
      <c r="H247" s="8" t="str">
        <f aca="false">IF(D247="","",F247*G247)</f>
        <v/>
      </c>
      <c r="I247" s="8" t="str">
        <f aca="false">IF(D247="","",F247*IFERROR(INDEX(Товары!$D$2:$D$200,MATCH(D247,Товары!$A$2:$A$200,0)),0))</f>
        <v/>
      </c>
      <c r="J247" s="8" t="str">
        <f aca="false">IF(D247="","",H247-I247)</f>
        <v/>
      </c>
      <c r="K247" s="7" t="str">
        <f aca="false">IF(A247="","",MONTH(A247))</f>
        <v/>
      </c>
      <c r="L247" s="7" t="str">
        <f aca="false">IF(A247="","",YEAR(A247))</f>
        <v/>
      </c>
      <c r="M247" s="9" t="str">
        <f aca="false">IF(B247="","",B247&amp;"|"&amp;COUNTIF(B$2:B247,B247))</f>
        <v/>
      </c>
    </row>
    <row r="248" customFormat="false" ht="15" hidden="false" customHeight="false" outlineLevel="0" collapsed="false">
      <c r="A248" s="5"/>
      <c r="B248" s="6"/>
      <c r="C248" s="6"/>
      <c r="D248" s="6"/>
      <c r="E248" s="7" t="str">
        <f aca="false">IF(D248="","",IFERROR(INDEX(Товары!$B$2:$B$200,MATCH(D248,Товары!$A$2:$A$200,0)),"нет в справочнике"))</f>
        <v/>
      </c>
      <c r="F248" s="6"/>
      <c r="G248" s="8" t="str">
        <f aca="false">IF(D248="","",IFERROR(INDEX(Товары!$C$2:$C$200,MATCH(D248,Товары!$A$2:$A$200,0)),0))</f>
        <v/>
      </c>
      <c r="H248" s="8" t="str">
        <f aca="false">IF(D248="","",F248*G248)</f>
        <v/>
      </c>
      <c r="I248" s="8" t="str">
        <f aca="false">IF(D248="","",F248*IFERROR(INDEX(Товары!$D$2:$D$200,MATCH(D248,Товары!$A$2:$A$200,0)),0))</f>
        <v/>
      </c>
      <c r="J248" s="8" t="str">
        <f aca="false">IF(D248="","",H248-I248)</f>
        <v/>
      </c>
      <c r="K248" s="7" t="str">
        <f aca="false">IF(A248="","",MONTH(A248))</f>
        <v/>
      </c>
      <c r="L248" s="7" t="str">
        <f aca="false">IF(A248="","",YEAR(A248))</f>
        <v/>
      </c>
      <c r="M248" s="9" t="str">
        <f aca="false">IF(B248="","",B248&amp;"|"&amp;COUNTIF(B$2:B248,B248))</f>
        <v/>
      </c>
    </row>
    <row r="249" customFormat="false" ht="15" hidden="false" customHeight="false" outlineLevel="0" collapsed="false">
      <c r="A249" s="5"/>
      <c r="B249" s="6"/>
      <c r="C249" s="6"/>
      <c r="D249" s="6"/>
      <c r="E249" s="7" t="str">
        <f aca="false">IF(D249="","",IFERROR(INDEX(Товары!$B$2:$B$200,MATCH(D249,Товары!$A$2:$A$200,0)),"нет в справочнике"))</f>
        <v/>
      </c>
      <c r="F249" s="6"/>
      <c r="G249" s="8" t="str">
        <f aca="false">IF(D249="","",IFERROR(INDEX(Товары!$C$2:$C$200,MATCH(D249,Товары!$A$2:$A$200,0)),0))</f>
        <v/>
      </c>
      <c r="H249" s="8" t="str">
        <f aca="false">IF(D249="","",F249*G249)</f>
        <v/>
      </c>
      <c r="I249" s="8" t="str">
        <f aca="false">IF(D249="","",F249*IFERROR(INDEX(Товары!$D$2:$D$200,MATCH(D249,Товары!$A$2:$A$200,0)),0))</f>
        <v/>
      </c>
      <c r="J249" s="8" t="str">
        <f aca="false">IF(D249="","",H249-I249)</f>
        <v/>
      </c>
      <c r="K249" s="7" t="str">
        <f aca="false">IF(A249="","",MONTH(A249))</f>
        <v/>
      </c>
      <c r="L249" s="7" t="str">
        <f aca="false">IF(A249="","",YEAR(A249))</f>
        <v/>
      </c>
      <c r="M249" s="9" t="str">
        <f aca="false">IF(B249="","",B249&amp;"|"&amp;COUNTIF(B$2:B249,B249))</f>
        <v/>
      </c>
    </row>
    <row r="250" customFormat="false" ht="15" hidden="false" customHeight="false" outlineLevel="0" collapsed="false">
      <c r="A250" s="5"/>
      <c r="B250" s="6"/>
      <c r="C250" s="6"/>
      <c r="D250" s="6"/>
      <c r="E250" s="7" t="str">
        <f aca="false">IF(D250="","",IFERROR(INDEX(Товары!$B$2:$B$200,MATCH(D250,Товары!$A$2:$A$200,0)),"нет в справочнике"))</f>
        <v/>
      </c>
      <c r="F250" s="6"/>
      <c r="G250" s="8" t="str">
        <f aca="false">IF(D250="","",IFERROR(INDEX(Товары!$C$2:$C$200,MATCH(D250,Товары!$A$2:$A$200,0)),0))</f>
        <v/>
      </c>
      <c r="H250" s="8" t="str">
        <f aca="false">IF(D250="","",F250*G250)</f>
        <v/>
      </c>
      <c r="I250" s="8" t="str">
        <f aca="false">IF(D250="","",F250*IFERROR(INDEX(Товары!$D$2:$D$200,MATCH(D250,Товары!$A$2:$A$200,0)),0))</f>
        <v/>
      </c>
      <c r="J250" s="8" t="str">
        <f aca="false">IF(D250="","",H250-I250)</f>
        <v/>
      </c>
      <c r="K250" s="7" t="str">
        <f aca="false">IF(A250="","",MONTH(A250))</f>
        <v/>
      </c>
      <c r="L250" s="7" t="str">
        <f aca="false">IF(A250="","",YEAR(A250))</f>
        <v/>
      </c>
      <c r="M250" s="9" t="str">
        <f aca="false">IF(B250="","",B250&amp;"|"&amp;COUNTIF(B$2:B250,B250))</f>
        <v/>
      </c>
    </row>
    <row r="251" customFormat="false" ht="15" hidden="false" customHeight="false" outlineLevel="0" collapsed="false">
      <c r="A251" s="5"/>
      <c r="B251" s="6"/>
      <c r="C251" s="6"/>
      <c r="D251" s="6"/>
      <c r="E251" s="7" t="str">
        <f aca="false">IF(D251="","",IFERROR(INDEX(Товары!$B$2:$B$200,MATCH(D251,Товары!$A$2:$A$200,0)),"нет в справочнике"))</f>
        <v/>
      </c>
      <c r="F251" s="6"/>
      <c r="G251" s="8" t="str">
        <f aca="false">IF(D251="","",IFERROR(INDEX(Товары!$C$2:$C$200,MATCH(D251,Товары!$A$2:$A$200,0)),0))</f>
        <v/>
      </c>
      <c r="H251" s="8" t="str">
        <f aca="false">IF(D251="","",F251*G251)</f>
        <v/>
      </c>
      <c r="I251" s="8" t="str">
        <f aca="false">IF(D251="","",F251*IFERROR(INDEX(Товары!$D$2:$D$200,MATCH(D251,Товары!$A$2:$A$200,0)),0))</f>
        <v/>
      </c>
      <c r="J251" s="8" t="str">
        <f aca="false">IF(D251="","",H251-I251)</f>
        <v/>
      </c>
      <c r="K251" s="7" t="str">
        <f aca="false">IF(A251="","",MONTH(A251))</f>
        <v/>
      </c>
      <c r="L251" s="7" t="str">
        <f aca="false">IF(A251="","",YEAR(A251))</f>
        <v/>
      </c>
      <c r="M251" s="9" t="str">
        <f aca="false">IF(B251="","",B251&amp;"|"&amp;COUNTIF(B$2:B251,B251))</f>
        <v/>
      </c>
    </row>
    <row r="252" customFormat="false" ht="15" hidden="false" customHeight="false" outlineLevel="0" collapsed="false">
      <c r="A252" s="5"/>
      <c r="B252" s="6"/>
      <c r="C252" s="6"/>
      <c r="D252" s="6"/>
      <c r="E252" s="7" t="str">
        <f aca="false">IF(D252="","",IFERROR(INDEX(Товары!$B$2:$B$200,MATCH(D252,Товары!$A$2:$A$200,0)),"нет в справочнике"))</f>
        <v/>
      </c>
      <c r="F252" s="6"/>
      <c r="G252" s="8" t="str">
        <f aca="false">IF(D252="","",IFERROR(INDEX(Товары!$C$2:$C$200,MATCH(D252,Товары!$A$2:$A$200,0)),0))</f>
        <v/>
      </c>
      <c r="H252" s="8" t="str">
        <f aca="false">IF(D252="","",F252*G252)</f>
        <v/>
      </c>
      <c r="I252" s="8" t="str">
        <f aca="false">IF(D252="","",F252*IFERROR(INDEX(Товары!$D$2:$D$200,MATCH(D252,Товары!$A$2:$A$200,0)),0))</f>
        <v/>
      </c>
      <c r="J252" s="8" t="str">
        <f aca="false">IF(D252="","",H252-I252)</f>
        <v/>
      </c>
      <c r="K252" s="7" t="str">
        <f aca="false">IF(A252="","",MONTH(A252))</f>
        <v/>
      </c>
      <c r="L252" s="7" t="str">
        <f aca="false">IF(A252="","",YEAR(A252))</f>
        <v/>
      </c>
      <c r="M252" s="9" t="str">
        <f aca="false">IF(B252="","",B252&amp;"|"&amp;COUNTIF(B$2:B252,B252))</f>
        <v/>
      </c>
    </row>
    <row r="253" customFormat="false" ht="15" hidden="false" customHeight="false" outlineLevel="0" collapsed="false">
      <c r="A253" s="5"/>
      <c r="B253" s="6"/>
      <c r="C253" s="6"/>
      <c r="D253" s="6"/>
      <c r="E253" s="7" t="str">
        <f aca="false">IF(D253="","",IFERROR(INDEX(Товары!$B$2:$B$200,MATCH(D253,Товары!$A$2:$A$200,0)),"нет в справочнике"))</f>
        <v/>
      </c>
      <c r="F253" s="6"/>
      <c r="G253" s="8" t="str">
        <f aca="false">IF(D253="","",IFERROR(INDEX(Товары!$C$2:$C$200,MATCH(D253,Товары!$A$2:$A$200,0)),0))</f>
        <v/>
      </c>
      <c r="H253" s="8" t="str">
        <f aca="false">IF(D253="","",F253*G253)</f>
        <v/>
      </c>
      <c r="I253" s="8" t="str">
        <f aca="false">IF(D253="","",F253*IFERROR(INDEX(Товары!$D$2:$D$200,MATCH(D253,Товары!$A$2:$A$200,0)),0))</f>
        <v/>
      </c>
      <c r="J253" s="8" t="str">
        <f aca="false">IF(D253="","",H253-I253)</f>
        <v/>
      </c>
      <c r="K253" s="7" t="str">
        <f aca="false">IF(A253="","",MONTH(A253))</f>
        <v/>
      </c>
      <c r="L253" s="7" t="str">
        <f aca="false">IF(A253="","",YEAR(A253))</f>
        <v/>
      </c>
      <c r="M253" s="9" t="str">
        <f aca="false">IF(B253="","",B253&amp;"|"&amp;COUNTIF(B$2:B253,B253))</f>
        <v/>
      </c>
    </row>
    <row r="254" customFormat="false" ht="15" hidden="false" customHeight="false" outlineLevel="0" collapsed="false">
      <c r="A254" s="5"/>
      <c r="B254" s="6"/>
      <c r="C254" s="6"/>
      <c r="D254" s="6"/>
      <c r="E254" s="7" t="str">
        <f aca="false">IF(D254="","",IFERROR(INDEX(Товары!$B$2:$B$200,MATCH(D254,Товары!$A$2:$A$200,0)),"нет в справочнике"))</f>
        <v/>
      </c>
      <c r="F254" s="6"/>
      <c r="G254" s="8" t="str">
        <f aca="false">IF(D254="","",IFERROR(INDEX(Товары!$C$2:$C$200,MATCH(D254,Товары!$A$2:$A$200,0)),0))</f>
        <v/>
      </c>
      <c r="H254" s="8" t="str">
        <f aca="false">IF(D254="","",F254*G254)</f>
        <v/>
      </c>
      <c r="I254" s="8" t="str">
        <f aca="false">IF(D254="","",F254*IFERROR(INDEX(Товары!$D$2:$D$200,MATCH(D254,Товары!$A$2:$A$200,0)),0))</f>
        <v/>
      </c>
      <c r="J254" s="8" t="str">
        <f aca="false">IF(D254="","",H254-I254)</f>
        <v/>
      </c>
      <c r="K254" s="7" t="str">
        <f aca="false">IF(A254="","",MONTH(A254))</f>
        <v/>
      </c>
      <c r="L254" s="7" t="str">
        <f aca="false">IF(A254="","",YEAR(A254))</f>
        <v/>
      </c>
      <c r="M254" s="9" t="str">
        <f aca="false">IF(B254="","",B254&amp;"|"&amp;COUNTIF(B$2:B254,B254))</f>
        <v/>
      </c>
    </row>
    <row r="255" customFormat="false" ht="15" hidden="false" customHeight="false" outlineLevel="0" collapsed="false">
      <c r="A255" s="5"/>
      <c r="B255" s="6"/>
      <c r="C255" s="6"/>
      <c r="D255" s="6"/>
      <c r="E255" s="7" t="str">
        <f aca="false">IF(D255="","",IFERROR(INDEX(Товары!$B$2:$B$200,MATCH(D255,Товары!$A$2:$A$200,0)),"нет в справочнике"))</f>
        <v/>
      </c>
      <c r="F255" s="6"/>
      <c r="G255" s="8" t="str">
        <f aca="false">IF(D255="","",IFERROR(INDEX(Товары!$C$2:$C$200,MATCH(D255,Товары!$A$2:$A$200,0)),0))</f>
        <v/>
      </c>
      <c r="H255" s="8" t="str">
        <f aca="false">IF(D255="","",F255*G255)</f>
        <v/>
      </c>
      <c r="I255" s="8" t="str">
        <f aca="false">IF(D255="","",F255*IFERROR(INDEX(Товары!$D$2:$D$200,MATCH(D255,Товары!$A$2:$A$200,0)),0))</f>
        <v/>
      </c>
      <c r="J255" s="8" t="str">
        <f aca="false">IF(D255="","",H255-I255)</f>
        <v/>
      </c>
      <c r="K255" s="7" t="str">
        <f aca="false">IF(A255="","",MONTH(A255))</f>
        <v/>
      </c>
      <c r="L255" s="7" t="str">
        <f aca="false">IF(A255="","",YEAR(A255))</f>
        <v/>
      </c>
      <c r="M255" s="9" t="str">
        <f aca="false">IF(B255="","",B255&amp;"|"&amp;COUNTIF(B$2:B255,B255))</f>
        <v/>
      </c>
    </row>
    <row r="256" customFormat="false" ht="15" hidden="false" customHeight="false" outlineLevel="0" collapsed="false">
      <c r="A256" s="5"/>
      <c r="B256" s="6"/>
      <c r="C256" s="6"/>
      <c r="D256" s="6"/>
      <c r="E256" s="7" t="str">
        <f aca="false">IF(D256="","",IFERROR(INDEX(Товары!$B$2:$B$200,MATCH(D256,Товары!$A$2:$A$200,0)),"нет в справочнике"))</f>
        <v/>
      </c>
      <c r="F256" s="6"/>
      <c r="G256" s="8" t="str">
        <f aca="false">IF(D256="","",IFERROR(INDEX(Товары!$C$2:$C$200,MATCH(D256,Товары!$A$2:$A$200,0)),0))</f>
        <v/>
      </c>
      <c r="H256" s="8" t="str">
        <f aca="false">IF(D256="","",F256*G256)</f>
        <v/>
      </c>
      <c r="I256" s="8" t="str">
        <f aca="false">IF(D256="","",F256*IFERROR(INDEX(Товары!$D$2:$D$200,MATCH(D256,Товары!$A$2:$A$200,0)),0))</f>
        <v/>
      </c>
      <c r="J256" s="8" t="str">
        <f aca="false">IF(D256="","",H256-I256)</f>
        <v/>
      </c>
      <c r="K256" s="7" t="str">
        <f aca="false">IF(A256="","",MONTH(A256))</f>
        <v/>
      </c>
      <c r="L256" s="7" t="str">
        <f aca="false">IF(A256="","",YEAR(A256))</f>
        <v/>
      </c>
      <c r="M256" s="9" t="str">
        <f aca="false">IF(B256="","",B256&amp;"|"&amp;COUNTIF(B$2:B256,B256))</f>
        <v/>
      </c>
    </row>
    <row r="257" customFormat="false" ht="15" hidden="false" customHeight="false" outlineLevel="0" collapsed="false">
      <c r="A257" s="5"/>
      <c r="B257" s="6"/>
      <c r="C257" s="6"/>
      <c r="D257" s="6"/>
      <c r="E257" s="7" t="str">
        <f aca="false">IF(D257="","",IFERROR(INDEX(Товары!$B$2:$B$200,MATCH(D257,Товары!$A$2:$A$200,0)),"нет в справочнике"))</f>
        <v/>
      </c>
      <c r="F257" s="6"/>
      <c r="G257" s="8" t="str">
        <f aca="false">IF(D257="","",IFERROR(INDEX(Товары!$C$2:$C$200,MATCH(D257,Товары!$A$2:$A$200,0)),0))</f>
        <v/>
      </c>
      <c r="H257" s="8" t="str">
        <f aca="false">IF(D257="","",F257*G257)</f>
        <v/>
      </c>
      <c r="I257" s="8" t="str">
        <f aca="false">IF(D257="","",F257*IFERROR(INDEX(Товары!$D$2:$D$200,MATCH(D257,Товары!$A$2:$A$200,0)),0))</f>
        <v/>
      </c>
      <c r="J257" s="8" t="str">
        <f aca="false">IF(D257="","",H257-I257)</f>
        <v/>
      </c>
      <c r="K257" s="7" t="str">
        <f aca="false">IF(A257="","",MONTH(A257))</f>
        <v/>
      </c>
      <c r="L257" s="7" t="str">
        <f aca="false">IF(A257="","",YEAR(A257))</f>
        <v/>
      </c>
      <c r="M257" s="9" t="str">
        <f aca="false">IF(B257="","",B257&amp;"|"&amp;COUNTIF(B$2:B257,B257))</f>
        <v/>
      </c>
    </row>
    <row r="258" customFormat="false" ht="15" hidden="false" customHeight="false" outlineLevel="0" collapsed="false">
      <c r="A258" s="5"/>
      <c r="B258" s="6"/>
      <c r="C258" s="6"/>
      <c r="D258" s="6"/>
      <c r="E258" s="7" t="str">
        <f aca="false">IF(D258="","",IFERROR(INDEX(Товары!$B$2:$B$200,MATCH(D258,Товары!$A$2:$A$200,0)),"нет в справочнике"))</f>
        <v/>
      </c>
      <c r="F258" s="6"/>
      <c r="G258" s="8" t="str">
        <f aca="false">IF(D258="","",IFERROR(INDEX(Товары!$C$2:$C$200,MATCH(D258,Товары!$A$2:$A$200,0)),0))</f>
        <v/>
      </c>
      <c r="H258" s="8" t="str">
        <f aca="false">IF(D258="","",F258*G258)</f>
        <v/>
      </c>
      <c r="I258" s="8" t="str">
        <f aca="false">IF(D258="","",F258*IFERROR(INDEX(Товары!$D$2:$D$200,MATCH(D258,Товары!$A$2:$A$200,0)),0))</f>
        <v/>
      </c>
      <c r="J258" s="8" t="str">
        <f aca="false">IF(D258="","",H258-I258)</f>
        <v/>
      </c>
      <c r="K258" s="7" t="str">
        <f aca="false">IF(A258="","",MONTH(A258))</f>
        <v/>
      </c>
      <c r="L258" s="7" t="str">
        <f aca="false">IF(A258="","",YEAR(A258))</f>
        <v/>
      </c>
      <c r="M258" s="9" t="str">
        <f aca="false">IF(B258="","",B258&amp;"|"&amp;COUNTIF(B$2:B258,B258))</f>
        <v/>
      </c>
    </row>
    <row r="259" customFormat="false" ht="15" hidden="false" customHeight="false" outlineLevel="0" collapsed="false">
      <c r="A259" s="5"/>
      <c r="B259" s="6"/>
      <c r="C259" s="6"/>
      <c r="D259" s="6"/>
      <c r="E259" s="7" t="str">
        <f aca="false">IF(D259="","",IFERROR(INDEX(Товары!$B$2:$B$200,MATCH(D259,Товары!$A$2:$A$200,0)),"нет в справочнике"))</f>
        <v/>
      </c>
      <c r="F259" s="6"/>
      <c r="G259" s="8" t="str">
        <f aca="false">IF(D259="","",IFERROR(INDEX(Товары!$C$2:$C$200,MATCH(D259,Товары!$A$2:$A$200,0)),0))</f>
        <v/>
      </c>
      <c r="H259" s="8" t="str">
        <f aca="false">IF(D259="","",F259*G259)</f>
        <v/>
      </c>
      <c r="I259" s="8" t="str">
        <f aca="false">IF(D259="","",F259*IFERROR(INDEX(Товары!$D$2:$D$200,MATCH(D259,Товары!$A$2:$A$200,0)),0))</f>
        <v/>
      </c>
      <c r="J259" s="8" t="str">
        <f aca="false">IF(D259="","",H259-I259)</f>
        <v/>
      </c>
      <c r="K259" s="7" t="str">
        <f aca="false">IF(A259="","",MONTH(A259))</f>
        <v/>
      </c>
      <c r="L259" s="7" t="str">
        <f aca="false">IF(A259="","",YEAR(A259))</f>
        <v/>
      </c>
      <c r="M259" s="9" t="str">
        <f aca="false">IF(B259="","",B259&amp;"|"&amp;COUNTIF(B$2:B259,B259))</f>
        <v/>
      </c>
    </row>
    <row r="260" customFormat="false" ht="15" hidden="false" customHeight="false" outlineLevel="0" collapsed="false">
      <c r="A260" s="5"/>
      <c r="B260" s="6"/>
      <c r="C260" s="6"/>
      <c r="D260" s="6"/>
      <c r="E260" s="7" t="str">
        <f aca="false">IF(D260="","",IFERROR(INDEX(Товары!$B$2:$B$200,MATCH(D260,Товары!$A$2:$A$200,0)),"нет в справочнике"))</f>
        <v/>
      </c>
      <c r="F260" s="6"/>
      <c r="G260" s="8" t="str">
        <f aca="false">IF(D260="","",IFERROR(INDEX(Товары!$C$2:$C$200,MATCH(D260,Товары!$A$2:$A$200,0)),0))</f>
        <v/>
      </c>
      <c r="H260" s="8" t="str">
        <f aca="false">IF(D260="","",F260*G260)</f>
        <v/>
      </c>
      <c r="I260" s="8" t="str">
        <f aca="false">IF(D260="","",F260*IFERROR(INDEX(Товары!$D$2:$D$200,MATCH(D260,Товары!$A$2:$A$200,0)),0))</f>
        <v/>
      </c>
      <c r="J260" s="8" t="str">
        <f aca="false">IF(D260="","",H260-I260)</f>
        <v/>
      </c>
      <c r="K260" s="7" t="str">
        <f aca="false">IF(A260="","",MONTH(A260))</f>
        <v/>
      </c>
      <c r="L260" s="7" t="str">
        <f aca="false">IF(A260="","",YEAR(A260))</f>
        <v/>
      </c>
      <c r="M260" s="9" t="str">
        <f aca="false">IF(B260="","",B260&amp;"|"&amp;COUNTIF(B$2:B260,B260))</f>
        <v/>
      </c>
    </row>
    <row r="261" customFormat="false" ht="15" hidden="false" customHeight="false" outlineLevel="0" collapsed="false">
      <c r="A261" s="5"/>
      <c r="B261" s="6"/>
      <c r="C261" s="6"/>
      <c r="D261" s="6"/>
      <c r="E261" s="7" t="str">
        <f aca="false">IF(D261="","",IFERROR(INDEX(Товары!$B$2:$B$200,MATCH(D261,Товары!$A$2:$A$200,0)),"нет в справочнике"))</f>
        <v/>
      </c>
      <c r="F261" s="6"/>
      <c r="G261" s="8" t="str">
        <f aca="false">IF(D261="","",IFERROR(INDEX(Товары!$C$2:$C$200,MATCH(D261,Товары!$A$2:$A$200,0)),0))</f>
        <v/>
      </c>
      <c r="H261" s="8" t="str">
        <f aca="false">IF(D261="","",F261*G261)</f>
        <v/>
      </c>
      <c r="I261" s="8" t="str">
        <f aca="false">IF(D261="","",F261*IFERROR(INDEX(Товары!$D$2:$D$200,MATCH(D261,Товары!$A$2:$A$200,0)),0))</f>
        <v/>
      </c>
      <c r="J261" s="8" t="str">
        <f aca="false">IF(D261="","",H261-I261)</f>
        <v/>
      </c>
      <c r="K261" s="7" t="str">
        <f aca="false">IF(A261="","",MONTH(A261))</f>
        <v/>
      </c>
      <c r="L261" s="7" t="str">
        <f aca="false">IF(A261="","",YEAR(A261))</f>
        <v/>
      </c>
      <c r="M261" s="9" t="str">
        <f aca="false">IF(B261="","",B261&amp;"|"&amp;COUNTIF(B$2:B261,B261))</f>
        <v/>
      </c>
    </row>
    <row r="262" customFormat="false" ht="15" hidden="false" customHeight="false" outlineLevel="0" collapsed="false">
      <c r="A262" s="5"/>
      <c r="B262" s="6"/>
      <c r="C262" s="6"/>
      <c r="D262" s="6"/>
      <c r="E262" s="7" t="str">
        <f aca="false">IF(D262="","",IFERROR(INDEX(Товары!$B$2:$B$200,MATCH(D262,Товары!$A$2:$A$200,0)),"нет в справочнике"))</f>
        <v/>
      </c>
      <c r="F262" s="6"/>
      <c r="G262" s="8" t="str">
        <f aca="false">IF(D262="","",IFERROR(INDEX(Товары!$C$2:$C$200,MATCH(D262,Товары!$A$2:$A$200,0)),0))</f>
        <v/>
      </c>
      <c r="H262" s="8" t="str">
        <f aca="false">IF(D262="","",F262*G262)</f>
        <v/>
      </c>
      <c r="I262" s="8" t="str">
        <f aca="false">IF(D262="","",F262*IFERROR(INDEX(Товары!$D$2:$D$200,MATCH(D262,Товары!$A$2:$A$200,0)),0))</f>
        <v/>
      </c>
      <c r="J262" s="8" t="str">
        <f aca="false">IF(D262="","",H262-I262)</f>
        <v/>
      </c>
      <c r="K262" s="7" t="str">
        <f aca="false">IF(A262="","",MONTH(A262))</f>
        <v/>
      </c>
      <c r="L262" s="7" t="str">
        <f aca="false">IF(A262="","",YEAR(A262))</f>
        <v/>
      </c>
      <c r="M262" s="9" t="str">
        <f aca="false">IF(B262="","",B262&amp;"|"&amp;COUNTIF(B$2:B262,B262))</f>
        <v/>
      </c>
    </row>
    <row r="263" customFormat="false" ht="15" hidden="false" customHeight="false" outlineLevel="0" collapsed="false">
      <c r="A263" s="5"/>
      <c r="B263" s="6"/>
      <c r="C263" s="6"/>
      <c r="D263" s="6"/>
      <c r="E263" s="7" t="str">
        <f aca="false">IF(D263="","",IFERROR(INDEX(Товары!$B$2:$B$200,MATCH(D263,Товары!$A$2:$A$200,0)),"нет в справочнике"))</f>
        <v/>
      </c>
      <c r="F263" s="6"/>
      <c r="G263" s="8" t="str">
        <f aca="false">IF(D263="","",IFERROR(INDEX(Товары!$C$2:$C$200,MATCH(D263,Товары!$A$2:$A$200,0)),0))</f>
        <v/>
      </c>
      <c r="H263" s="8" t="str">
        <f aca="false">IF(D263="","",F263*G263)</f>
        <v/>
      </c>
      <c r="I263" s="8" t="str">
        <f aca="false">IF(D263="","",F263*IFERROR(INDEX(Товары!$D$2:$D$200,MATCH(D263,Товары!$A$2:$A$200,0)),0))</f>
        <v/>
      </c>
      <c r="J263" s="8" t="str">
        <f aca="false">IF(D263="","",H263-I263)</f>
        <v/>
      </c>
      <c r="K263" s="7" t="str">
        <f aca="false">IF(A263="","",MONTH(A263))</f>
        <v/>
      </c>
      <c r="L263" s="7" t="str">
        <f aca="false">IF(A263="","",YEAR(A263))</f>
        <v/>
      </c>
      <c r="M263" s="9" t="str">
        <f aca="false">IF(B263="","",B263&amp;"|"&amp;COUNTIF(B$2:B263,B263))</f>
        <v/>
      </c>
    </row>
    <row r="264" customFormat="false" ht="15" hidden="false" customHeight="false" outlineLevel="0" collapsed="false">
      <c r="A264" s="5"/>
      <c r="B264" s="6"/>
      <c r="C264" s="6"/>
      <c r="D264" s="6"/>
      <c r="E264" s="7" t="str">
        <f aca="false">IF(D264="","",IFERROR(INDEX(Товары!$B$2:$B$200,MATCH(D264,Товары!$A$2:$A$200,0)),"нет в справочнике"))</f>
        <v/>
      </c>
      <c r="F264" s="6"/>
      <c r="G264" s="8" t="str">
        <f aca="false">IF(D264="","",IFERROR(INDEX(Товары!$C$2:$C$200,MATCH(D264,Товары!$A$2:$A$200,0)),0))</f>
        <v/>
      </c>
      <c r="H264" s="8" t="str">
        <f aca="false">IF(D264="","",F264*G264)</f>
        <v/>
      </c>
      <c r="I264" s="8" t="str">
        <f aca="false">IF(D264="","",F264*IFERROR(INDEX(Товары!$D$2:$D$200,MATCH(D264,Товары!$A$2:$A$200,0)),0))</f>
        <v/>
      </c>
      <c r="J264" s="8" t="str">
        <f aca="false">IF(D264="","",H264-I264)</f>
        <v/>
      </c>
      <c r="K264" s="7" t="str">
        <f aca="false">IF(A264="","",MONTH(A264))</f>
        <v/>
      </c>
      <c r="L264" s="7" t="str">
        <f aca="false">IF(A264="","",YEAR(A264))</f>
        <v/>
      </c>
      <c r="M264" s="9" t="str">
        <f aca="false">IF(B264="","",B264&amp;"|"&amp;COUNTIF(B$2:B264,B264))</f>
        <v/>
      </c>
    </row>
    <row r="265" customFormat="false" ht="15" hidden="false" customHeight="false" outlineLevel="0" collapsed="false">
      <c r="A265" s="5"/>
      <c r="B265" s="6"/>
      <c r="C265" s="6"/>
      <c r="D265" s="6"/>
      <c r="E265" s="7" t="str">
        <f aca="false">IF(D265="","",IFERROR(INDEX(Товары!$B$2:$B$200,MATCH(D265,Товары!$A$2:$A$200,0)),"нет в справочнике"))</f>
        <v/>
      </c>
      <c r="F265" s="6"/>
      <c r="G265" s="8" t="str">
        <f aca="false">IF(D265="","",IFERROR(INDEX(Товары!$C$2:$C$200,MATCH(D265,Товары!$A$2:$A$200,0)),0))</f>
        <v/>
      </c>
      <c r="H265" s="8" t="str">
        <f aca="false">IF(D265="","",F265*G265)</f>
        <v/>
      </c>
      <c r="I265" s="8" t="str">
        <f aca="false">IF(D265="","",F265*IFERROR(INDEX(Товары!$D$2:$D$200,MATCH(D265,Товары!$A$2:$A$200,0)),0))</f>
        <v/>
      </c>
      <c r="J265" s="8" t="str">
        <f aca="false">IF(D265="","",H265-I265)</f>
        <v/>
      </c>
      <c r="K265" s="7" t="str">
        <f aca="false">IF(A265="","",MONTH(A265))</f>
        <v/>
      </c>
      <c r="L265" s="7" t="str">
        <f aca="false">IF(A265="","",YEAR(A265))</f>
        <v/>
      </c>
      <c r="M265" s="9" t="str">
        <f aca="false">IF(B265="","",B265&amp;"|"&amp;COUNTIF(B$2:B265,B265))</f>
        <v/>
      </c>
    </row>
    <row r="266" customFormat="false" ht="15" hidden="false" customHeight="false" outlineLevel="0" collapsed="false">
      <c r="A266" s="5"/>
      <c r="B266" s="6"/>
      <c r="C266" s="6"/>
      <c r="D266" s="6"/>
      <c r="E266" s="7" t="str">
        <f aca="false">IF(D266="","",IFERROR(INDEX(Товары!$B$2:$B$200,MATCH(D266,Товары!$A$2:$A$200,0)),"нет в справочнике"))</f>
        <v/>
      </c>
      <c r="F266" s="6"/>
      <c r="G266" s="8" t="str">
        <f aca="false">IF(D266="","",IFERROR(INDEX(Товары!$C$2:$C$200,MATCH(D266,Товары!$A$2:$A$200,0)),0))</f>
        <v/>
      </c>
      <c r="H266" s="8" t="str">
        <f aca="false">IF(D266="","",F266*G266)</f>
        <v/>
      </c>
      <c r="I266" s="8" t="str">
        <f aca="false">IF(D266="","",F266*IFERROR(INDEX(Товары!$D$2:$D$200,MATCH(D266,Товары!$A$2:$A$200,0)),0))</f>
        <v/>
      </c>
      <c r="J266" s="8" t="str">
        <f aca="false">IF(D266="","",H266-I266)</f>
        <v/>
      </c>
      <c r="K266" s="7" t="str">
        <f aca="false">IF(A266="","",MONTH(A266))</f>
        <v/>
      </c>
      <c r="L266" s="7" t="str">
        <f aca="false">IF(A266="","",YEAR(A266))</f>
        <v/>
      </c>
      <c r="M266" s="9" t="str">
        <f aca="false">IF(B266="","",B266&amp;"|"&amp;COUNTIF(B$2:B266,B266))</f>
        <v/>
      </c>
    </row>
    <row r="267" customFormat="false" ht="15" hidden="false" customHeight="false" outlineLevel="0" collapsed="false">
      <c r="A267" s="5"/>
      <c r="B267" s="6"/>
      <c r="C267" s="6"/>
      <c r="D267" s="6"/>
      <c r="E267" s="7" t="str">
        <f aca="false">IF(D267="","",IFERROR(INDEX(Товары!$B$2:$B$200,MATCH(D267,Товары!$A$2:$A$200,0)),"нет в справочнике"))</f>
        <v/>
      </c>
      <c r="F267" s="6"/>
      <c r="G267" s="8" t="str">
        <f aca="false">IF(D267="","",IFERROR(INDEX(Товары!$C$2:$C$200,MATCH(D267,Товары!$A$2:$A$200,0)),0))</f>
        <v/>
      </c>
      <c r="H267" s="8" t="str">
        <f aca="false">IF(D267="","",F267*G267)</f>
        <v/>
      </c>
      <c r="I267" s="8" t="str">
        <f aca="false">IF(D267="","",F267*IFERROR(INDEX(Товары!$D$2:$D$200,MATCH(D267,Товары!$A$2:$A$200,0)),0))</f>
        <v/>
      </c>
      <c r="J267" s="8" t="str">
        <f aca="false">IF(D267="","",H267-I267)</f>
        <v/>
      </c>
      <c r="K267" s="7" t="str">
        <f aca="false">IF(A267="","",MONTH(A267))</f>
        <v/>
      </c>
      <c r="L267" s="7" t="str">
        <f aca="false">IF(A267="","",YEAR(A267))</f>
        <v/>
      </c>
      <c r="M267" s="9" t="str">
        <f aca="false">IF(B267="","",B267&amp;"|"&amp;COUNTIF(B$2:B267,B267))</f>
        <v/>
      </c>
    </row>
    <row r="268" customFormat="false" ht="15" hidden="false" customHeight="false" outlineLevel="0" collapsed="false">
      <c r="A268" s="5"/>
      <c r="B268" s="6"/>
      <c r="C268" s="6"/>
      <c r="D268" s="6"/>
      <c r="E268" s="7" t="str">
        <f aca="false">IF(D268="","",IFERROR(INDEX(Товары!$B$2:$B$200,MATCH(D268,Товары!$A$2:$A$200,0)),"нет в справочнике"))</f>
        <v/>
      </c>
      <c r="F268" s="6"/>
      <c r="G268" s="8" t="str">
        <f aca="false">IF(D268="","",IFERROR(INDEX(Товары!$C$2:$C$200,MATCH(D268,Товары!$A$2:$A$200,0)),0))</f>
        <v/>
      </c>
      <c r="H268" s="8" t="str">
        <f aca="false">IF(D268="","",F268*G268)</f>
        <v/>
      </c>
      <c r="I268" s="8" t="str">
        <f aca="false">IF(D268="","",F268*IFERROR(INDEX(Товары!$D$2:$D$200,MATCH(D268,Товары!$A$2:$A$200,0)),0))</f>
        <v/>
      </c>
      <c r="J268" s="8" t="str">
        <f aca="false">IF(D268="","",H268-I268)</f>
        <v/>
      </c>
      <c r="K268" s="7" t="str">
        <f aca="false">IF(A268="","",MONTH(A268))</f>
        <v/>
      </c>
      <c r="L268" s="7" t="str">
        <f aca="false">IF(A268="","",YEAR(A268))</f>
        <v/>
      </c>
      <c r="M268" s="9" t="str">
        <f aca="false">IF(B268="","",B268&amp;"|"&amp;COUNTIF(B$2:B268,B268))</f>
        <v/>
      </c>
    </row>
    <row r="269" customFormat="false" ht="15" hidden="false" customHeight="false" outlineLevel="0" collapsed="false">
      <c r="A269" s="5"/>
      <c r="B269" s="6"/>
      <c r="C269" s="6"/>
      <c r="D269" s="6"/>
      <c r="E269" s="7" t="str">
        <f aca="false">IF(D269="","",IFERROR(INDEX(Товары!$B$2:$B$200,MATCH(D269,Товары!$A$2:$A$200,0)),"нет в справочнике"))</f>
        <v/>
      </c>
      <c r="F269" s="6"/>
      <c r="G269" s="8" t="str">
        <f aca="false">IF(D269="","",IFERROR(INDEX(Товары!$C$2:$C$200,MATCH(D269,Товары!$A$2:$A$200,0)),0))</f>
        <v/>
      </c>
      <c r="H269" s="8" t="str">
        <f aca="false">IF(D269="","",F269*G269)</f>
        <v/>
      </c>
      <c r="I269" s="8" t="str">
        <f aca="false">IF(D269="","",F269*IFERROR(INDEX(Товары!$D$2:$D$200,MATCH(D269,Товары!$A$2:$A$200,0)),0))</f>
        <v/>
      </c>
      <c r="J269" s="8" t="str">
        <f aca="false">IF(D269="","",H269-I269)</f>
        <v/>
      </c>
      <c r="K269" s="7" t="str">
        <f aca="false">IF(A269="","",MONTH(A269))</f>
        <v/>
      </c>
      <c r="L269" s="7" t="str">
        <f aca="false">IF(A269="","",YEAR(A269))</f>
        <v/>
      </c>
      <c r="M269" s="9" t="str">
        <f aca="false">IF(B269="","",B269&amp;"|"&amp;COUNTIF(B$2:B269,B269))</f>
        <v/>
      </c>
    </row>
    <row r="270" customFormat="false" ht="15" hidden="false" customHeight="false" outlineLevel="0" collapsed="false">
      <c r="A270" s="5"/>
      <c r="B270" s="6"/>
      <c r="C270" s="6"/>
      <c r="D270" s="6"/>
      <c r="E270" s="7" t="str">
        <f aca="false">IF(D270="","",IFERROR(INDEX(Товары!$B$2:$B$200,MATCH(D270,Товары!$A$2:$A$200,0)),"нет в справочнике"))</f>
        <v/>
      </c>
      <c r="F270" s="6"/>
      <c r="G270" s="8" t="str">
        <f aca="false">IF(D270="","",IFERROR(INDEX(Товары!$C$2:$C$200,MATCH(D270,Товары!$A$2:$A$200,0)),0))</f>
        <v/>
      </c>
      <c r="H270" s="8" t="str">
        <f aca="false">IF(D270="","",F270*G270)</f>
        <v/>
      </c>
      <c r="I270" s="8" t="str">
        <f aca="false">IF(D270="","",F270*IFERROR(INDEX(Товары!$D$2:$D$200,MATCH(D270,Товары!$A$2:$A$200,0)),0))</f>
        <v/>
      </c>
      <c r="J270" s="8" t="str">
        <f aca="false">IF(D270="","",H270-I270)</f>
        <v/>
      </c>
      <c r="K270" s="7" t="str">
        <f aca="false">IF(A270="","",MONTH(A270))</f>
        <v/>
      </c>
      <c r="L270" s="7" t="str">
        <f aca="false">IF(A270="","",YEAR(A270))</f>
        <v/>
      </c>
      <c r="M270" s="9" t="str">
        <f aca="false">IF(B270="","",B270&amp;"|"&amp;COUNTIF(B$2:B270,B270))</f>
        <v/>
      </c>
    </row>
    <row r="271" customFormat="false" ht="15" hidden="false" customHeight="false" outlineLevel="0" collapsed="false">
      <c r="A271" s="5"/>
      <c r="B271" s="6"/>
      <c r="C271" s="6"/>
      <c r="D271" s="6"/>
      <c r="E271" s="7" t="str">
        <f aca="false">IF(D271="","",IFERROR(INDEX(Товары!$B$2:$B$200,MATCH(D271,Товары!$A$2:$A$200,0)),"нет в справочнике"))</f>
        <v/>
      </c>
      <c r="F271" s="6"/>
      <c r="G271" s="8" t="str">
        <f aca="false">IF(D271="","",IFERROR(INDEX(Товары!$C$2:$C$200,MATCH(D271,Товары!$A$2:$A$200,0)),0))</f>
        <v/>
      </c>
      <c r="H271" s="8" t="str">
        <f aca="false">IF(D271="","",F271*G271)</f>
        <v/>
      </c>
      <c r="I271" s="8" t="str">
        <f aca="false">IF(D271="","",F271*IFERROR(INDEX(Товары!$D$2:$D$200,MATCH(D271,Товары!$A$2:$A$200,0)),0))</f>
        <v/>
      </c>
      <c r="J271" s="8" t="str">
        <f aca="false">IF(D271="","",H271-I271)</f>
        <v/>
      </c>
      <c r="K271" s="7" t="str">
        <f aca="false">IF(A271="","",MONTH(A271))</f>
        <v/>
      </c>
      <c r="L271" s="7" t="str">
        <f aca="false">IF(A271="","",YEAR(A271))</f>
        <v/>
      </c>
      <c r="M271" s="9" t="str">
        <f aca="false">IF(B271="","",B271&amp;"|"&amp;COUNTIF(B$2:B271,B271))</f>
        <v/>
      </c>
    </row>
    <row r="272" customFormat="false" ht="15" hidden="false" customHeight="false" outlineLevel="0" collapsed="false">
      <c r="A272" s="5"/>
      <c r="B272" s="6"/>
      <c r="C272" s="6"/>
      <c r="D272" s="6"/>
      <c r="E272" s="7" t="str">
        <f aca="false">IF(D272="","",IFERROR(INDEX(Товары!$B$2:$B$200,MATCH(D272,Товары!$A$2:$A$200,0)),"нет в справочнике"))</f>
        <v/>
      </c>
      <c r="F272" s="6"/>
      <c r="G272" s="8" t="str">
        <f aca="false">IF(D272="","",IFERROR(INDEX(Товары!$C$2:$C$200,MATCH(D272,Товары!$A$2:$A$200,0)),0))</f>
        <v/>
      </c>
      <c r="H272" s="8" t="str">
        <f aca="false">IF(D272="","",F272*G272)</f>
        <v/>
      </c>
      <c r="I272" s="8" t="str">
        <f aca="false">IF(D272="","",F272*IFERROR(INDEX(Товары!$D$2:$D$200,MATCH(D272,Товары!$A$2:$A$200,0)),0))</f>
        <v/>
      </c>
      <c r="J272" s="8" t="str">
        <f aca="false">IF(D272="","",H272-I272)</f>
        <v/>
      </c>
      <c r="K272" s="7" t="str">
        <f aca="false">IF(A272="","",MONTH(A272))</f>
        <v/>
      </c>
      <c r="L272" s="7" t="str">
        <f aca="false">IF(A272="","",YEAR(A272))</f>
        <v/>
      </c>
      <c r="M272" s="9" t="str">
        <f aca="false">IF(B272="","",B272&amp;"|"&amp;COUNTIF(B$2:B272,B272))</f>
        <v/>
      </c>
    </row>
    <row r="273" customFormat="false" ht="15" hidden="false" customHeight="false" outlineLevel="0" collapsed="false">
      <c r="A273" s="5"/>
      <c r="B273" s="6"/>
      <c r="C273" s="6"/>
      <c r="D273" s="6"/>
      <c r="E273" s="7" t="str">
        <f aca="false">IF(D273="","",IFERROR(INDEX(Товары!$B$2:$B$200,MATCH(D273,Товары!$A$2:$A$200,0)),"нет в справочнике"))</f>
        <v/>
      </c>
      <c r="F273" s="6"/>
      <c r="G273" s="8" t="str">
        <f aca="false">IF(D273="","",IFERROR(INDEX(Товары!$C$2:$C$200,MATCH(D273,Товары!$A$2:$A$200,0)),0))</f>
        <v/>
      </c>
      <c r="H273" s="8" t="str">
        <f aca="false">IF(D273="","",F273*G273)</f>
        <v/>
      </c>
      <c r="I273" s="8" t="str">
        <f aca="false">IF(D273="","",F273*IFERROR(INDEX(Товары!$D$2:$D$200,MATCH(D273,Товары!$A$2:$A$200,0)),0))</f>
        <v/>
      </c>
      <c r="J273" s="8" t="str">
        <f aca="false">IF(D273="","",H273-I273)</f>
        <v/>
      </c>
      <c r="K273" s="7" t="str">
        <f aca="false">IF(A273="","",MONTH(A273))</f>
        <v/>
      </c>
      <c r="L273" s="7" t="str">
        <f aca="false">IF(A273="","",YEAR(A273))</f>
        <v/>
      </c>
      <c r="M273" s="9" t="str">
        <f aca="false">IF(B273="","",B273&amp;"|"&amp;COUNTIF(B$2:B273,B273))</f>
        <v/>
      </c>
    </row>
    <row r="274" customFormat="false" ht="15" hidden="false" customHeight="false" outlineLevel="0" collapsed="false">
      <c r="A274" s="5"/>
      <c r="B274" s="6"/>
      <c r="C274" s="6"/>
      <c r="D274" s="6"/>
      <c r="E274" s="7" t="str">
        <f aca="false">IF(D274="","",IFERROR(INDEX(Товары!$B$2:$B$200,MATCH(D274,Товары!$A$2:$A$200,0)),"нет в справочнике"))</f>
        <v/>
      </c>
      <c r="F274" s="6"/>
      <c r="G274" s="8" t="str">
        <f aca="false">IF(D274="","",IFERROR(INDEX(Товары!$C$2:$C$200,MATCH(D274,Товары!$A$2:$A$200,0)),0))</f>
        <v/>
      </c>
      <c r="H274" s="8" t="str">
        <f aca="false">IF(D274="","",F274*G274)</f>
        <v/>
      </c>
      <c r="I274" s="8" t="str">
        <f aca="false">IF(D274="","",F274*IFERROR(INDEX(Товары!$D$2:$D$200,MATCH(D274,Товары!$A$2:$A$200,0)),0))</f>
        <v/>
      </c>
      <c r="J274" s="8" t="str">
        <f aca="false">IF(D274="","",H274-I274)</f>
        <v/>
      </c>
      <c r="K274" s="7" t="str">
        <f aca="false">IF(A274="","",MONTH(A274))</f>
        <v/>
      </c>
      <c r="L274" s="7" t="str">
        <f aca="false">IF(A274="","",YEAR(A274))</f>
        <v/>
      </c>
      <c r="M274" s="9" t="str">
        <f aca="false">IF(B274="","",B274&amp;"|"&amp;COUNTIF(B$2:B274,B274))</f>
        <v/>
      </c>
    </row>
    <row r="275" customFormat="false" ht="15" hidden="false" customHeight="false" outlineLevel="0" collapsed="false">
      <c r="A275" s="5"/>
      <c r="B275" s="6"/>
      <c r="C275" s="6"/>
      <c r="D275" s="6"/>
      <c r="E275" s="7" t="str">
        <f aca="false">IF(D275="","",IFERROR(INDEX(Товары!$B$2:$B$200,MATCH(D275,Товары!$A$2:$A$200,0)),"нет в справочнике"))</f>
        <v/>
      </c>
      <c r="F275" s="6"/>
      <c r="G275" s="8" t="str">
        <f aca="false">IF(D275="","",IFERROR(INDEX(Товары!$C$2:$C$200,MATCH(D275,Товары!$A$2:$A$200,0)),0))</f>
        <v/>
      </c>
      <c r="H275" s="8" t="str">
        <f aca="false">IF(D275="","",F275*G275)</f>
        <v/>
      </c>
      <c r="I275" s="8" t="str">
        <f aca="false">IF(D275="","",F275*IFERROR(INDEX(Товары!$D$2:$D$200,MATCH(D275,Товары!$A$2:$A$200,0)),0))</f>
        <v/>
      </c>
      <c r="J275" s="8" t="str">
        <f aca="false">IF(D275="","",H275-I275)</f>
        <v/>
      </c>
      <c r="K275" s="7" t="str">
        <f aca="false">IF(A275="","",MONTH(A275))</f>
        <v/>
      </c>
      <c r="L275" s="7" t="str">
        <f aca="false">IF(A275="","",YEAR(A275))</f>
        <v/>
      </c>
      <c r="M275" s="9" t="str">
        <f aca="false">IF(B275="","",B275&amp;"|"&amp;COUNTIF(B$2:B275,B275))</f>
        <v/>
      </c>
    </row>
    <row r="276" customFormat="false" ht="15" hidden="false" customHeight="false" outlineLevel="0" collapsed="false">
      <c r="A276" s="5"/>
      <c r="B276" s="6"/>
      <c r="C276" s="6"/>
      <c r="D276" s="6"/>
      <c r="E276" s="7" t="str">
        <f aca="false">IF(D276="","",IFERROR(INDEX(Товары!$B$2:$B$200,MATCH(D276,Товары!$A$2:$A$200,0)),"нет в справочнике"))</f>
        <v/>
      </c>
      <c r="F276" s="6"/>
      <c r="G276" s="8" t="str">
        <f aca="false">IF(D276="","",IFERROR(INDEX(Товары!$C$2:$C$200,MATCH(D276,Товары!$A$2:$A$200,0)),0))</f>
        <v/>
      </c>
      <c r="H276" s="8" t="str">
        <f aca="false">IF(D276="","",F276*G276)</f>
        <v/>
      </c>
      <c r="I276" s="8" t="str">
        <f aca="false">IF(D276="","",F276*IFERROR(INDEX(Товары!$D$2:$D$200,MATCH(D276,Товары!$A$2:$A$200,0)),0))</f>
        <v/>
      </c>
      <c r="J276" s="8" t="str">
        <f aca="false">IF(D276="","",H276-I276)</f>
        <v/>
      </c>
      <c r="K276" s="7" t="str">
        <f aca="false">IF(A276="","",MONTH(A276))</f>
        <v/>
      </c>
      <c r="L276" s="7" t="str">
        <f aca="false">IF(A276="","",YEAR(A276))</f>
        <v/>
      </c>
      <c r="M276" s="9" t="str">
        <f aca="false">IF(B276="","",B276&amp;"|"&amp;COUNTIF(B$2:B276,B276))</f>
        <v/>
      </c>
    </row>
    <row r="277" customFormat="false" ht="15" hidden="false" customHeight="false" outlineLevel="0" collapsed="false">
      <c r="A277" s="5"/>
      <c r="B277" s="6"/>
      <c r="C277" s="6"/>
      <c r="D277" s="6"/>
      <c r="E277" s="7" t="str">
        <f aca="false">IF(D277="","",IFERROR(INDEX(Товары!$B$2:$B$200,MATCH(D277,Товары!$A$2:$A$200,0)),"нет в справочнике"))</f>
        <v/>
      </c>
      <c r="F277" s="6"/>
      <c r="G277" s="8" t="str">
        <f aca="false">IF(D277="","",IFERROR(INDEX(Товары!$C$2:$C$200,MATCH(D277,Товары!$A$2:$A$200,0)),0))</f>
        <v/>
      </c>
      <c r="H277" s="8" t="str">
        <f aca="false">IF(D277="","",F277*G277)</f>
        <v/>
      </c>
      <c r="I277" s="8" t="str">
        <f aca="false">IF(D277="","",F277*IFERROR(INDEX(Товары!$D$2:$D$200,MATCH(D277,Товары!$A$2:$A$200,0)),0))</f>
        <v/>
      </c>
      <c r="J277" s="8" t="str">
        <f aca="false">IF(D277="","",H277-I277)</f>
        <v/>
      </c>
      <c r="K277" s="7" t="str">
        <f aca="false">IF(A277="","",MONTH(A277))</f>
        <v/>
      </c>
      <c r="L277" s="7" t="str">
        <f aca="false">IF(A277="","",YEAR(A277))</f>
        <v/>
      </c>
      <c r="M277" s="9" t="str">
        <f aca="false">IF(B277="","",B277&amp;"|"&amp;COUNTIF(B$2:B277,B277))</f>
        <v/>
      </c>
    </row>
    <row r="278" customFormat="false" ht="15" hidden="false" customHeight="false" outlineLevel="0" collapsed="false">
      <c r="A278" s="5"/>
      <c r="B278" s="6"/>
      <c r="C278" s="6"/>
      <c r="D278" s="6"/>
      <c r="E278" s="7" t="str">
        <f aca="false">IF(D278="","",IFERROR(INDEX(Товары!$B$2:$B$200,MATCH(D278,Товары!$A$2:$A$200,0)),"нет в справочнике"))</f>
        <v/>
      </c>
      <c r="F278" s="6"/>
      <c r="G278" s="8" t="str">
        <f aca="false">IF(D278="","",IFERROR(INDEX(Товары!$C$2:$C$200,MATCH(D278,Товары!$A$2:$A$200,0)),0))</f>
        <v/>
      </c>
      <c r="H278" s="8" t="str">
        <f aca="false">IF(D278="","",F278*G278)</f>
        <v/>
      </c>
      <c r="I278" s="8" t="str">
        <f aca="false">IF(D278="","",F278*IFERROR(INDEX(Товары!$D$2:$D$200,MATCH(D278,Товары!$A$2:$A$200,0)),0))</f>
        <v/>
      </c>
      <c r="J278" s="8" t="str">
        <f aca="false">IF(D278="","",H278-I278)</f>
        <v/>
      </c>
      <c r="K278" s="7" t="str">
        <f aca="false">IF(A278="","",MONTH(A278))</f>
        <v/>
      </c>
      <c r="L278" s="7" t="str">
        <f aca="false">IF(A278="","",YEAR(A278))</f>
        <v/>
      </c>
      <c r="M278" s="9" t="str">
        <f aca="false">IF(B278="","",B278&amp;"|"&amp;COUNTIF(B$2:B278,B278))</f>
        <v/>
      </c>
    </row>
    <row r="279" customFormat="false" ht="15" hidden="false" customHeight="false" outlineLevel="0" collapsed="false">
      <c r="A279" s="5"/>
      <c r="B279" s="6"/>
      <c r="C279" s="6"/>
      <c r="D279" s="6"/>
      <c r="E279" s="7" t="str">
        <f aca="false">IF(D279="","",IFERROR(INDEX(Товары!$B$2:$B$200,MATCH(D279,Товары!$A$2:$A$200,0)),"нет в справочнике"))</f>
        <v/>
      </c>
      <c r="F279" s="6"/>
      <c r="G279" s="8" t="str">
        <f aca="false">IF(D279="","",IFERROR(INDEX(Товары!$C$2:$C$200,MATCH(D279,Товары!$A$2:$A$200,0)),0))</f>
        <v/>
      </c>
      <c r="H279" s="8" t="str">
        <f aca="false">IF(D279="","",F279*G279)</f>
        <v/>
      </c>
      <c r="I279" s="8" t="str">
        <f aca="false">IF(D279="","",F279*IFERROR(INDEX(Товары!$D$2:$D$200,MATCH(D279,Товары!$A$2:$A$200,0)),0))</f>
        <v/>
      </c>
      <c r="J279" s="8" t="str">
        <f aca="false">IF(D279="","",H279-I279)</f>
        <v/>
      </c>
      <c r="K279" s="7" t="str">
        <f aca="false">IF(A279="","",MONTH(A279))</f>
        <v/>
      </c>
      <c r="L279" s="7" t="str">
        <f aca="false">IF(A279="","",YEAR(A279))</f>
        <v/>
      </c>
      <c r="M279" s="9" t="str">
        <f aca="false">IF(B279="","",B279&amp;"|"&amp;COUNTIF(B$2:B279,B279))</f>
        <v/>
      </c>
    </row>
    <row r="280" customFormat="false" ht="15" hidden="false" customHeight="false" outlineLevel="0" collapsed="false">
      <c r="A280" s="5"/>
      <c r="B280" s="6"/>
      <c r="C280" s="6"/>
      <c r="D280" s="6"/>
      <c r="E280" s="7" t="str">
        <f aca="false">IF(D280="","",IFERROR(INDEX(Товары!$B$2:$B$200,MATCH(D280,Товары!$A$2:$A$200,0)),"нет в справочнике"))</f>
        <v/>
      </c>
      <c r="F280" s="6"/>
      <c r="G280" s="8" t="str">
        <f aca="false">IF(D280="","",IFERROR(INDEX(Товары!$C$2:$C$200,MATCH(D280,Товары!$A$2:$A$200,0)),0))</f>
        <v/>
      </c>
      <c r="H280" s="8" t="str">
        <f aca="false">IF(D280="","",F280*G280)</f>
        <v/>
      </c>
      <c r="I280" s="8" t="str">
        <f aca="false">IF(D280="","",F280*IFERROR(INDEX(Товары!$D$2:$D$200,MATCH(D280,Товары!$A$2:$A$200,0)),0))</f>
        <v/>
      </c>
      <c r="J280" s="8" t="str">
        <f aca="false">IF(D280="","",H280-I280)</f>
        <v/>
      </c>
      <c r="K280" s="7" t="str">
        <f aca="false">IF(A280="","",MONTH(A280))</f>
        <v/>
      </c>
      <c r="L280" s="7" t="str">
        <f aca="false">IF(A280="","",YEAR(A280))</f>
        <v/>
      </c>
      <c r="M280" s="9" t="str">
        <f aca="false">IF(B280="","",B280&amp;"|"&amp;COUNTIF(B$2:B280,B280))</f>
        <v/>
      </c>
    </row>
    <row r="281" customFormat="false" ht="15" hidden="false" customHeight="false" outlineLevel="0" collapsed="false">
      <c r="A281" s="5"/>
      <c r="B281" s="6"/>
      <c r="C281" s="6"/>
      <c r="D281" s="6"/>
      <c r="E281" s="7" t="str">
        <f aca="false">IF(D281="","",IFERROR(INDEX(Товары!$B$2:$B$200,MATCH(D281,Товары!$A$2:$A$200,0)),"нет в справочнике"))</f>
        <v/>
      </c>
      <c r="F281" s="6"/>
      <c r="G281" s="8" t="str">
        <f aca="false">IF(D281="","",IFERROR(INDEX(Товары!$C$2:$C$200,MATCH(D281,Товары!$A$2:$A$200,0)),0))</f>
        <v/>
      </c>
      <c r="H281" s="8" t="str">
        <f aca="false">IF(D281="","",F281*G281)</f>
        <v/>
      </c>
      <c r="I281" s="8" t="str">
        <f aca="false">IF(D281="","",F281*IFERROR(INDEX(Товары!$D$2:$D$200,MATCH(D281,Товары!$A$2:$A$200,0)),0))</f>
        <v/>
      </c>
      <c r="J281" s="8" t="str">
        <f aca="false">IF(D281="","",H281-I281)</f>
        <v/>
      </c>
      <c r="K281" s="7" t="str">
        <f aca="false">IF(A281="","",MONTH(A281))</f>
        <v/>
      </c>
      <c r="L281" s="7" t="str">
        <f aca="false">IF(A281="","",YEAR(A281))</f>
        <v/>
      </c>
      <c r="M281" s="9" t="str">
        <f aca="false">IF(B281="","",B281&amp;"|"&amp;COUNTIF(B$2:B281,B281))</f>
        <v/>
      </c>
    </row>
    <row r="282" customFormat="false" ht="15" hidden="false" customHeight="false" outlineLevel="0" collapsed="false">
      <c r="A282" s="5"/>
      <c r="B282" s="6"/>
      <c r="C282" s="6"/>
      <c r="D282" s="6"/>
      <c r="E282" s="7" t="str">
        <f aca="false">IF(D282="","",IFERROR(INDEX(Товары!$B$2:$B$200,MATCH(D282,Товары!$A$2:$A$200,0)),"нет в справочнике"))</f>
        <v/>
      </c>
      <c r="F282" s="6"/>
      <c r="G282" s="8" t="str">
        <f aca="false">IF(D282="","",IFERROR(INDEX(Товары!$C$2:$C$200,MATCH(D282,Товары!$A$2:$A$200,0)),0))</f>
        <v/>
      </c>
      <c r="H282" s="8" t="str">
        <f aca="false">IF(D282="","",F282*G282)</f>
        <v/>
      </c>
      <c r="I282" s="8" t="str">
        <f aca="false">IF(D282="","",F282*IFERROR(INDEX(Товары!$D$2:$D$200,MATCH(D282,Товары!$A$2:$A$200,0)),0))</f>
        <v/>
      </c>
      <c r="J282" s="8" t="str">
        <f aca="false">IF(D282="","",H282-I282)</f>
        <v/>
      </c>
      <c r="K282" s="7" t="str">
        <f aca="false">IF(A282="","",MONTH(A282))</f>
        <v/>
      </c>
      <c r="L282" s="7" t="str">
        <f aca="false">IF(A282="","",YEAR(A282))</f>
        <v/>
      </c>
      <c r="M282" s="9" t="str">
        <f aca="false">IF(B282="","",B282&amp;"|"&amp;COUNTIF(B$2:B282,B282))</f>
        <v/>
      </c>
    </row>
    <row r="283" customFormat="false" ht="15" hidden="false" customHeight="false" outlineLevel="0" collapsed="false">
      <c r="A283" s="5"/>
      <c r="B283" s="6"/>
      <c r="C283" s="6"/>
      <c r="D283" s="6"/>
      <c r="E283" s="7" t="str">
        <f aca="false">IF(D283="","",IFERROR(INDEX(Товары!$B$2:$B$200,MATCH(D283,Товары!$A$2:$A$200,0)),"нет в справочнике"))</f>
        <v/>
      </c>
      <c r="F283" s="6"/>
      <c r="G283" s="8" t="str">
        <f aca="false">IF(D283="","",IFERROR(INDEX(Товары!$C$2:$C$200,MATCH(D283,Товары!$A$2:$A$200,0)),0))</f>
        <v/>
      </c>
      <c r="H283" s="8" t="str">
        <f aca="false">IF(D283="","",F283*G283)</f>
        <v/>
      </c>
      <c r="I283" s="8" t="str">
        <f aca="false">IF(D283="","",F283*IFERROR(INDEX(Товары!$D$2:$D$200,MATCH(D283,Товары!$A$2:$A$200,0)),0))</f>
        <v/>
      </c>
      <c r="J283" s="8" t="str">
        <f aca="false">IF(D283="","",H283-I283)</f>
        <v/>
      </c>
      <c r="K283" s="7" t="str">
        <f aca="false">IF(A283="","",MONTH(A283))</f>
        <v/>
      </c>
      <c r="L283" s="7" t="str">
        <f aca="false">IF(A283="","",YEAR(A283))</f>
        <v/>
      </c>
      <c r="M283" s="9" t="str">
        <f aca="false">IF(B283="","",B283&amp;"|"&amp;COUNTIF(B$2:B283,B283))</f>
        <v/>
      </c>
    </row>
    <row r="284" customFormat="false" ht="15" hidden="false" customHeight="false" outlineLevel="0" collapsed="false">
      <c r="A284" s="5"/>
      <c r="B284" s="6"/>
      <c r="C284" s="6"/>
      <c r="D284" s="6"/>
      <c r="E284" s="7" t="str">
        <f aca="false">IF(D284="","",IFERROR(INDEX(Товары!$B$2:$B$200,MATCH(D284,Товары!$A$2:$A$200,0)),"нет в справочнике"))</f>
        <v/>
      </c>
      <c r="F284" s="6"/>
      <c r="G284" s="8" t="str">
        <f aca="false">IF(D284="","",IFERROR(INDEX(Товары!$C$2:$C$200,MATCH(D284,Товары!$A$2:$A$200,0)),0))</f>
        <v/>
      </c>
      <c r="H284" s="8" t="str">
        <f aca="false">IF(D284="","",F284*G284)</f>
        <v/>
      </c>
      <c r="I284" s="8" t="str">
        <f aca="false">IF(D284="","",F284*IFERROR(INDEX(Товары!$D$2:$D$200,MATCH(D284,Товары!$A$2:$A$200,0)),0))</f>
        <v/>
      </c>
      <c r="J284" s="8" t="str">
        <f aca="false">IF(D284="","",H284-I284)</f>
        <v/>
      </c>
      <c r="K284" s="7" t="str">
        <f aca="false">IF(A284="","",MONTH(A284))</f>
        <v/>
      </c>
      <c r="L284" s="7" t="str">
        <f aca="false">IF(A284="","",YEAR(A284))</f>
        <v/>
      </c>
      <c r="M284" s="9" t="str">
        <f aca="false">IF(B284="","",B284&amp;"|"&amp;COUNTIF(B$2:B284,B284))</f>
        <v/>
      </c>
    </row>
    <row r="285" customFormat="false" ht="15" hidden="false" customHeight="false" outlineLevel="0" collapsed="false">
      <c r="A285" s="5"/>
      <c r="B285" s="6"/>
      <c r="C285" s="6"/>
      <c r="D285" s="6"/>
      <c r="E285" s="7" t="str">
        <f aca="false">IF(D285="","",IFERROR(INDEX(Товары!$B$2:$B$200,MATCH(D285,Товары!$A$2:$A$200,0)),"нет в справочнике"))</f>
        <v/>
      </c>
      <c r="F285" s="6"/>
      <c r="G285" s="8" t="str">
        <f aca="false">IF(D285="","",IFERROR(INDEX(Товары!$C$2:$C$200,MATCH(D285,Товары!$A$2:$A$200,0)),0))</f>
        <v/>
      </c>
      <c r="H285" s="8" t="str">
        <f aca="false">IF(D285="","",F285*G285)</f>
        <v/>
      </c>
      <c r="I285" s="8" t="str">
        <f aca="false">IF(D285="","",F285*IFERROR(INDEX(Товары!$D$2:$D$200,MATCH(D285,Товары!$A$2:$A$200,0)),0))</f>
        <v/>
      </c>
      <c r="J285" s="8" t="str">
        <f aca="false">IF(D285="","",H285-I285)</f>
        <v/>
      </c>
      <c r="K285" s="7" t="str">
        <f aca="false">IF(A285="","",MONTH(A285))</f>
        <v/>
      </c>
      <c r="L285" s="7" t="str">
        <f aca="false">IF(A285="","",YEAR(A285))</f>
        <v/>
      </c>
      <c r="M285" s="9" t="str">
        <f aca="false">IF(B285="","",B285&amp;"|"&amp;COUNTIF(B$2:B285,B285))</f>
        <v/>
      </c>
    </row>
    <row r="286" customFormat="false" ht="15" hidden="false" customHeight="false" outlineLevel="0" collapsed="false">
      <c r="A286" s="5"/>
      <c r="B286" s="6"/>
      <c r="C286" s="6"/>
      <c r="D286" s="6"/>
      <c r="E286" s="7" t="str">
        <f aca="false">IF(D286="","",IFERROR(INDEX(Товары!$B$2:$B$200,MATCH(D286,Товары!$A$2:$A$200,0)),"нет в справочнике"))</f>
        <v/>
      </c>
      <c r="F286" s="6"/>
      <c r="G286" s="8" t="str">
        <f aca="false">IF(D286="","",IFERROR(INDEX(Товары!$C$2:$C$200,MATCH(D286,Товары!$A$2:$A$200,0)),0))</f>
        <v/>
      </c>
      <c r="H286" s="8" t="str">
        <f aca="false">IF(D286="","",F286*G286)</f>
        <v/>
      </c>
      <c r="I286" s="8" t="str">
        <f aca="false">IF(D286="","",F286*IFERROR(INDEX(Товары!$D$2:$D$200,MATCH(D286,Товары!$A$2:$A$200,0)),0))</f>
        <v/>
      </c>
      <c r="J286" s="8" t="str">
        <f aca="false">IF(D286="","",H286-I286)</f>
        <v/>
      </c>
      <c r="K286" s="7" t="str">
        <f aca="false">IF(A286="","",MONTH(A286))</f>
        <v/>
      </c>
      <c r="L286" s="7" t="str">
        <f aca="false">IF(A286="","",YEAR(A286))</f>
        <v/>
      </c>
      <c r="M286" s="9" t="str">
        <f aca="false">IF(B286="","",B286&amp;"|"&amp;COUNTIF(B$2:B286,B286))</f>
        <v/>
      </c>
    </row>
    <row r="287" customFormat="false" ht="15" hidden="false" customHeight="false" outlineLevel="0" collapsed="false">
      <c r="A287" s="5"/>
      <c r="B287" s="6"/>
      <c r="C287" s="6"/>
      <c r="D287" s="6"/>
      <c r="E287" s="7" t="str">
        <f aca="false">IF(D287="","",IFERROR(INDEX(Товары!$B$2:$B$200,MATCH(D287,Товары!$A$2:$A$200,0)),"нет в справочнике"))</f>
        <v/>
      </c>
      <c r="F287" s="6"/>
      <c r="G287" s="8" t="str">
        <f aca="false">IF(D287="","",IFERROR(INDEX(Товары!$C$2:$C$200,MATCH(D287,Товары!$A$2:$A$200,0)),0))</f>
        <v/>
      </c>
      <c r="H287" s="8" t="str">
        <f aca="false">IF(D287="","",F287*G287)</f>
        <v/>
      </c>
      <c r="I287" s="8" t="str">
        <f aca="false">IF(D287="","",F287*IFERROR(INDEX(Товары!$D$2:$D$200,MATCH(D287,Товары!$A$2:$A$200,0)),0))</f>
        <v/>
      </c>
      <c r="J287" s="8" t="str">
        <f aca="false">IF(D287="","",H287-I287)</f>
        <v/>
      </c>
      <c r="K287" s="7" t="str">
        <f aca="false">IF(A287="","",MONTH(A287))</f>
        <v/>
      </c>
      <c r="L287" s="7" t="str">
        <f aca="false">IF(A287="","",YEAR(A287))</f>
        <v/>
      </c>
      <c r="M287" s="9" t="str">
        <f aca="false">IF(B287="","",B287&amp;"|"&amp;COUNTIF(B$2:B287,B287))</f>
        <v/>
      </c>
    </row>
    <row r="288" customFormat="false" ht="15" hidden="false" customHeight="false" outlineLevel="0" collapsed="false">
      <c r="A288" s="5"/>
      <c r="B288" s="6"/>
      <c r="C288" s="6"/>
      <c r="D288" s="6"/>
      <c r="E288" s="7" t="str">
        <f aca="false">IF(D288="","",IFERROR(INDEX(Товары!$B$2:$B$200,MATCH(D288,Товары!$A$2:$A$200,0)),"нет в справочнике"))</f>
        <v/>
      </c>
      <c r="F288" s="6"/>
      <c r="G288" s="8" t="str">
        <f aca="false">IF(D288="","",IFERROR(INDEX(Товары!$C$2:$C$200,MATCH(D288,Товары!$A$2:$A$200,0)),0))</f>
        <v/>
      </c>
      <c r="H288" s="8" t="str">
        <f aca="false">IF(D288="","",F288*G288)</f>
        <v/>
      </c>
      <c r="I288" s="8" t="str">
        <f aca="false">IF(D288="","",F288*IFERROR(INDEX(Товары!$D$2:$D$200,MATCH(D288,Товары!$A$2:$A$200,0)),0))</f>
        <v/>
      </c>
      <c r="J288" s="8" t="str">
        <f aca="false">IF(D288="","",H288-I288)</f>
        <v/>
      </c>
      <c r="K288" s="7" t="str">
        <f aca="false">IF(A288="","",MONTH(A288))</f>
        <v/>
      </c>
      <c r="L288" s="7" t="str">
        <f aca="false">IF(A288="","",YEAR(A288))</f>
        <v/>
      </c>
      <c r="M288" s="9" t="str">
        <f aca="false">IF(B288="","",B288&amp;"|"&amp;COUNTIF(B$2:B288,B288))</f>
        <v/>
      </c>
    </row>
    <row r="289" customFormat="false" ht="15" hidden="false" customHeight="false" outlineLevel="0" collapsed="false">
      <c r="A289" s="5"/>
      <c r="B289" s="6"/>
      <c r="C289" s="6"/>
      <c r="D289" s="6"/>
      <c r="E289" s="7" t="str">
        <f aca="false">IF(D289="","",IFERROR(INDEX(Товары!$B$2:$B$200,MATCH(D289,Товары!$A$2:$A$200,0)),"нет в справочнике"))</f>
        <v/>
      </c>
      <c r="F289" s="6"/>
      <c r="G289" s="8" t="str">
        <f aca="false">IF(D289="","",IFERROR(INDEX(Товары!$C$2:$C$200,MATCH(D289,Товары!$A$2:$A$200,0)),0))</f>
        <v/>
      </c>
      <c r="H289" s="8" t="str">
        <f aca="false">IF(D289="","",F289*G289)</f>
        <v/>
      </c>
      <c r="I289" s="8" t="str">
        <f aca="false">IF(D289="","",F289*IFERROR(INDEX(Товары!$D$2:$D$200,MATCH(D289,Товары!$A$2:$A$200,0)),0))</f>
        <v/>
      </c>
      <c r="J289" s="8" t="str">
        <f aca="false">IF(D289="","",H289-I289)</f>
        <v/>
      </c>
      <c r="K289" s="7" t="str">
        <f aca="false">IF(A289="","",MONTH(A289))</f>
        <v/>
      </c>
      <c r="L289" s="7" t="str">
        <f aca="false">IF(A289="","",YEAR(A289))</f>
        <v/>
      </c>
      <c r="M289" s="9" t="str">
        <f aca="false">IF(B289="","",B289&amp;"|"&amp;COUNTIF(B$2:B289,B289))</f>
        <v/>
      </c>
    </row>
    <row r="290" customFormat="false" ht="15" hidden="false" customHeight="false" outlineLevel="0" collapsed="false">
      <c r="A290" s="5"/>
      <c r="B290" s="6"/>
      <c r="C290" s="6"/>
      <c r="D290" s="6"/>
      <c r="E290" s="7" t="str">
        <f aca="false">IF(D290="","",IFERROR(INDEX(Товары!$B$2:$B$200,MATCH(D290,Товары!$A$2:$A$200,0)),"нет в справочнике"))</f>
        <v/>
      </c>
      <c r="F290" s="6"/>
      <c r="G290" s="8" t="str">
        <f aca="false">IF(D290="","",IFERROR(INDEX(Товары!$C$2:$C$200,MATCH(D290,Товары!$A$2:$A$200,0)),0))</f>
        <v/>
      </c>
      <c r="H290" s="8" t="str">
        <f aca="false">IF(D290="","",F290*G290)</f>
        <v/>
      </c>
      <c r="I290" s="8" t="str">
        <f aca="false">IF(D290="","",F290*IFERROR(INDEX(Товары!$D$2:$D$200,MATCH(D290,Товары!$A$2:$A$200,0)),0))</f>
        <v/>
      </c>
      <c r="J290" s="8" t="str">
        <f aca="false">IF(D290="","",H290-I290)</f>
        <v/>
      </c>
      <c r="K290" s="7" t="str">
        <f aca="false">IF(A290="","",MONTH(A290))</f>
        <v/>
      </c>
      <c r="L290" s="7" t="str">
        <f aca="false">IF(A290="","",YEAR(A290))</f>
        <v/>
      </c>
      <c r="M290" s="9" t="str">
        <f aca="false">IF(B290="","",B290&amp;"|"&amp;COUNTIF(B$2:B290,B290))</f>
        <v/>
      </c>
    </row>
    <row r="291" customFormat="false" ht="15" hidden="false" customHeight="false" outlineLevel="0" collapsed="false">
      <c r="A291" s="5"/>
      <c r="B291" s="6"/>
      <c r="C291" s="6"/>
      <c r="D291" s="6"/>
      <c r="E291" s="7" t="str">
        <f aca="false">IF(D291="","",IFERROR(INDEX(Товары!$B$2:$B$200,MATCH(D291,Товары!$A$2:$A$200,0)),"нет в справочнике"))</f>
        <v/>
      </c>
      <c r="F291" s="6"/>
      <c r="G291" s="8" t="str">
        <f aca="false">IF(D291="","",IFERROR(INDEX(Товары!$C$2:$C$200,MATCH(D291,Товары!$A$2:$A$200,0)),0))</f>
        <v/>
      </c>
      <c r="H291" s="8" t="str">
        <f aca="false">IF(D291="","",F291*G291)</f>
        <v/>
      </c>
      <c r="I291" s="8" t="str">
        <f aca="false">IF(D291="","",F291*IFERROR(INDEX(Товары!$D$2:$D$200,MATCH(D291,Товары!$A$2:$A$200,0)),0))</f>
        <v/>
      </c>
      <c r="J291" s="8" t="str">
        <f aca="false">IF(D291="","",H291-I291)</f>
        <v/>
      </c>
      <c r="K291" s="7" t="str">
        <f aca="false">IF(A291="","",MONTH(A291))</f>
        <v/>
      </c>
      <c r="L291" s="7" t="str">
        <f aca="false">IF(A291="","",YEAR(A291))</f>
        <v/>
      </c>
      <c r="M291" s="9" t="str">
        <f aca="false">IF(B291="","",B291&amp;"|"&amp;COUNTIF(B$2:B291,B291))</f>
        <v/>
      </c>
    </row>
    <row r="292" customFormat="false" ht="15" hidden="false" customHeight="false" outlineLevel="0" collapsed="false">
      <c r="A292" s="5"/>
      <c r="B292" s="6"/>
      <c r="C292" s="6"/>
      <c r="D292" s="6"/>
      <c r="E292" s="7" t="str">
        <f aca="false">IF(D292="","",IFERROR(INDEX(Товары!$B$2:$B$200,MATCH(D292,Товары!$A$2:$A$200,0)),"нет в справочнике"))</f>
        <v/>
      </c>
      <c r="F292" s="6"/>
      <c r="G292" s="8" t="str">
        <f aca="false">IF(D292="","",IFERROR(INDEX(Товары!$C$2:$C$200,MATCH(D292,Товары!$A$2:$A$200,0)),0))</f>
        <v/>
      </c>
      <c r="H292" s="8" t="str">
        <f aca="false">IF(D292="","",F292*G292)</f>
        <v/>
      </c>
      <c r="I292" s="8" t="str">
        <f aca="false">IF(D292="","",F292*IFERROR(INDEX(Товары!$D$2:$D$200,MATCH(D292,Товары!$A$2:$A$200,0)),0))</f>
        <v/>
      </c>
      <c r="J292" s="8" t="str">
        <f aca="false">IF(D292="","",H292-I292)</f>
        <v/>
      </c>
      <c r="K292" s="7" t="str">
        <f aca="false">IF(A292="","",MONTH(A292))</f>
        <v/>
      </c>
      <c r="L292" s="7" t="str">
        <f aca="false">IF(A292="","",YEAR(A292))</f>
        <v/>
      </c>
      <c r="M292" s="9" t="str">
        <f aca="false">IF(B292="","",B292&amp;"|"&amp;COUNTIF(B$2:B292,B292))</f>
        <v/>
      </c>
    </row>
    <row r="293" customFormat="false" ht="15" hidden="false" customHeight="false" outlineLevel="0" collapsed="false">
      <c r="A293" s="5"/>
      <c r="B293" s="6"/>
      <c r="C293" s="6"/>
      <c r="D293" s="6"/>
      <c r="E293" s="7" t="str">
        <f aca="false">IF(D293="","",IFERROR(INDEX(Товары!$B$2:$B$200,MATCH(D293,Товары!$A$2:$A$200,0)),"нет в справочнике"))</f>
        <v/>
      </c>
      <c r="F293" s="6"/>
      <c r="G293" s="8" t="str">
        <f aca="false">IF(D293="","",IFERROR(INDEX(Товары!$C$2:$C$200,MATCH(D293,Товары!$A$2:$A$200,0)),0))</f>
        <v/>
      </c>
      <c r="H293" s="8" t="str">
        <f aca="false">IF(D293="","",F293*G293)</f>
        <v/>
      </c>
      <c r="I293" s="8" t="str">
        <f aca="false">IF(D293="","",F293*IFERROR(INDEX(Товары!$D$2:$D$200,MATCH(D293,Товары!$A$2:$A$200,0)),0))</f>
        <v/>
      </c>
      <c r="J293" s="8" t="str">
        <f aca="false">IF(D293="","",H293-I293)</f>
        <v/>
      </c>
      <c r="K293" s="7" t="str">
        <f aca="false">IF(A293="","",MONTH(A293))</f>
        <v/>
      </c>
      <c r="L293" s="7" t="str">
        <f aca="false">IF(A293="","",YEAR(A293))</f>
        <v/>
      </c>
      <c r="M293" s="9" t="str">
        <f aca="false">IF(B293="","",B293&amp;"|"&amp;COUNTIF(B$2:B293,B293))</f>
        <v/>
      </c>
    </row>
    <row r="294" customFormat="false" ht="15" hidden="false" customHeight="false" outlineLevel="0" collapsed="false">
      <c r="A294" s="5"/>
      <c r="B294" s="6"/>
      <c r="C294" s="6"/>
      <c r="D294" s="6"/>
      <c r="E294" s="7" t="str">
        <f aca="false">IF(D294="","",IFERROR(INDEX(Товары!$B$2:$B$200,MATCH(D294,Товары!$A$2:$A$200,0)),"нет в справочнике"))</f>
        <v/>
      </c>
      <c r="F294" s="6"/>
      <c r="G294" s="8" t="str">
        <f aca="false">IF(D294="","",IFERROR(INDEX(Товары!$C$2:$C$200,MATCH(D294,Товары!$A$2:$A$200,0)),0))</f>
        <v/>
      </c>
      <c r="H294" s="8" t="str">
        <f aca="false">IF(D294="","",F294*G294)</f>
        <v/>
      </c>
      <c r="I294" s="8" t="str">
        <f aca="false">IF(D294="","",F294*IFERROR(INDEX(Товары!$D$2:$D$200,MATCH(D294,Товары!$A$2:$A$200,0)),0))</f>
        <v/>
      </c>
      <c r="J294" s="8" t="str">
        <f aca="false">IF(D294="","",H294-I294)</f>
        <v/>
      </c>
      <c r="K294" s="7" t="str">
        <f aca="false">IF(A294="","",MONTH(A294))</f>
        <v/>
      </c>
      <c r="L294" s="7" t="str">
        <f aca="false">IF(A294="","",YEAR(A294))</f>
        <v/>
      </c>
      <c r="M294" s="9" t="str">
        <f aca="false">IF(B294="","",B294&amp;"|"&amp;COUNTIF(B$2:B294,B294))</f>
        <v/>
      </c>
    </row>
    <row r="295" customFormat="false" ht="15" hidden="false" customHeight="false" outlineLevel="0" collapsed="false">
      <c r="A295" s="5"/>
      <c r="B295" s="6"/>
      <c r="C295" s="6"/>
      <c r="D295" s="6"/>
      <c r="E295" s="7" t="str">
        <f aca="false">IF(D295="","",IFERROR(INDEX(Товары!$B$2:$B$200,MATCH(D295,Товары!$A$2:$A$200,0)),"нет в справочнике"))</f>
        <v/>
      </c>
      <c r="F295" s="6"/>
      <c r="G295" s="8" t="str">
        <f aca="false">IF(D295="","",IFERROR(INDEX(Товары!$C$2:$C$200,MATCH(D295,Товары!$A$2:$A$200,0)),0))</f>
        <v/>
      </c>
      <c r="H295" s="8" t="str">
        <f aca="false">IF(D295="","",F295*G295)</f>
        <v/>
      </c>
      <c r="I295" s="8" t="str">
        <f aca="false">IF(D295="","",F295*IFERROR(INDEX(Товары!$D$2:$D$200,MATCH(D295,Товары!$A$2:$A$200,0)),0))</f>
        <v/>
      </c>
      <c r="J295" s="8" t="str">
        <f aca="false">IF(D295="","",H295-I295)</f>
        <v/>
      </c>
      <c r="K295" s="7" t="str">
        <f aca="false">IF(A295="","",MONTH(A295))</f>
        <v/>
      </c>
      <c r="L295" s="7" t="str">
        <f aca="false">IF(A295="","",YEAR(A295))</f>
        <v/>
      </c>
      <c r="M295" s="9" t="str">
        <f aca="false">IF(B295="","",B295&amp;"|"&amp;COUNTIF(B$2:B295,B295))</f>
        <v/>
      </c>
    </row>
    <row r="296" customFormat="false" ht="15" hidden="false" customHeight="false" outlineLevel="0" collapsed="false">
      <c r="A296" s="5"/>
      <c r="B296" s="6"/>
      <c r="C296" s="6"/>
      <c r="D296" s="6"/>
      <c r="E296" s="7" t="str">
        <f aca="false">IF(D296="","",IFERROR(INDEX(Товары!$B$2:$B$200,MATCH(D296,Товары!$A$2:$A$200,0)),"нет в справочнике"))</f>
        <v/>
      </c>
      <c r="F296" s="6"/>
      <c r="G296" s="8" t="str">
        <f aca="false">IF(D296="","",IFERROR(INDEX(Товары!$C$2:$C$200,MATCH(D296,Товары!$A$2:$A$200,0)),0))</f>
        <v/>
      </c>
      <c r="H296" s="8" t="str">
        <f aca="false">IF(D296="","",F296*G296)</f>
        <v/>
      </c>
      <c r="I296" s="8" t="str">
        <f aca="false">IF(D296="","",F296*IFERROR(INDEX(Товары!$D$2:$D$200,MATCH(D296,Товары!$A$2:$A$200,0)),0))</f>
        <v/>
      </c>
      <c r="J296" s="8" t="str">
        <f aca="false">IF(D296="","",H296-I296)</f>
        <v/>
      </c>
      <c r="K296" s="7" t="str">
        <f aca="false">IF(A296="","",MONTH(A296))</f>
        <v/>
      </c>
      <c r="L296" s="7" t="str">
        <f aca="false">IF(A296="","",YEAR(A296))</f>
        <v/>
      </c>
      <c r="M296" s="9" t="str">
        <f aca="false">IF(B296="","",B296&amp;"|"&amp;COUNTIF(B$2:B296,B296))</f>
        <v/>
      </c>
    </row>
    <row r="297" customFormat="false" ht="15" hidden="false" customHeight="false" outlineLevel="0" collapsed="false">
      <c r="A297" s="5"/>
      <c r="B297" s="6"/>
      <c r="C297" s="6"/>
      <c r="D297" s="6"/>
      <c r="E297" s="7" t="str">
        <f aca="false">IF(D297="","",IFERROR(INDEX(Товары!$B$2:$B$200,MATCH(D297,Товары!$A$2:$A$200,0)),"нет в справочнике"))</f>
        <v/>
      </c>
      <c r="F297" s="6"/>
      <c r="G297" s="8" t="str">
        <f aca="false">IF(D297="","",IFERROR(INDEX(Товары!$C$2:$C$200,MATCH(D297,Товары!$A$2:$A$200,0)),0))</f>
        <v/>
      </c>
      <c r="H297" s="8" t="str">
        <f aca="false">IF(D297="","",F297*G297)</f>
        <v/>
      </c>
      <c r="I297" s="8" t="str">
        <f aca="false">IF(D297="","",F297*IFERROR(INDEX(Товары!$D$2:$D$200,MATCH(D297,Товары!$A$2:$A$200,0)),0))</f>
        <v/>
      </c>
      <c r="J297" s="8" t="str">
        <f aca="false">IF(D297="","",H297-I297)</f>
        <v/>
      </c>
      <c r="K297" s="7" t="str">
        <f aca="false">IF(A297="","",MONTH(A297))</f>
        <v/>
      </c>
      <c r="L297" s="7" t="str">
        <f aca="false">IF(A297="","",YEAR(A297))</f>
        <v/>
      </c>
      <c r="M297" s="9" t="str">
        <f aca="false">IF(B297="","",B297&amp;"|"&amp;COUNTIF(B$2:B297,B297))</f>
        <v/>
      </c>
    </row>
    <row r="298" customFormat="false" ht="15" hidden="false" customHeight="false" outlineLevel="0" collapsed="false">
      <c r="A298" s="5"/>
      <c r="B298" s="6"/>
      <c r="C298" s="6"/>
      <c r="D298" s="6"/>
      <c r="E298" s="7" t="str">
        <f aca="false">IF(D298="","",IFERROR(INDEX(Товары!$B$2:$B$200,MATCH(D298,Товары!$A$2:$A$200,0)),"нет в справочнике"))</f>
        <v/>
      </c>
      <c r="F298" s="6"/>
      <c r="G298" s="8" t="str">
        <f aca="false">IF(D298="","",IFERROR(INDEX(Товары!$C$2:$C$200,MATCH(D298,Товары!$A$2:$A$200,0)),0))</f>
        <v/>
      </c>
      <c r="H298" s="8" t="str">
        <f aca="false">IF(D298="","",F298*G298)</f>
        <v/>
      </c>
      <c r="I298" s="8" t="str">
        <f aca="false">IF(D298="","",F298*IFERROR(INDEX(Товары!$D$2:$D$200,MATCH(D298,Товары!$A$2:$A$200,0)),0))</f>
        <v/>
      </c>
      <c r="J298" s="8" t="str">
        <f aca="false">IF(D298="","",H298-I298)</f>
        <v/>
      </c>
      <c r="K298" s="7" t="str">
        <f aca="false">IF(A298="","",MONTH(A298))</f>
        <v/>
      </c>
      <c r="L298" s="7" t="str">
        <f aca="false">IF(A298="","",YEAR(A298))</f>
        <v/>
      </c>
      <c r="M298" s="9" t="str">
        <f aca="false">IF(B298="","",B298&amp;"|"&amp;COUNTIF(B$2:B298,B298))</f>
        <v/>
      </c>
    </row>
    <row r="299" customFormat="false" ht="15" hidden="false" customHeight="false" outlineLevel="0" collapsed="false">
      <c r="A299" s="5"/>
      <c r="B299" s="6"/>
      <c r="C299" s="6"/>
      <c r="D299" s="6"/>
      <c r="E299" s="7" t="str">
        <f aca="false">IF(D299="","",IFERROR(INDEX(Товары!$B$2:$B$200,MATCH(D299,Товары!$A$2:$A$200,0)),"нет в справочнике"))</f>
        <v/>
      </c>
      <c r="F299" s="6"/>
      <c r="G299" s="8" t="str">
        <f aca="false">IF(D299="","",IFERROR(INDEX(Товары!$C$2:$C$200,MATCH(D299,Товары!$A$2:$A$200,0)),0))</f>
        <v/>
      </c>
      <c r="H299" s="8" t="str">
        <f aca="false">IF(D299="","",F299*G299)</f>
        <v/>
      </c>
      <c r="I299" s="8" t="str">
        <f aca="false">IF(D299="","",F299*IFERROR(INDEX(Товары!$D$2:$D$200,MATCH(D299,Товары!$A$2:$A$200,0)),0))</f>
        <v/>
      </c>
      <c r="J299" s="8" t="str">
        <f aca="false">IF(D299="","",H299-I299)</f>
        <v/>
      </c>
      <c r="K299" s="7" t="str">
        <f aca="false">IF(A299="","",MONTH(A299))</f>
        <v/>
      </c>
      <c r="L299" s="7" t="str">
        <f aca="false">IF(A299="","",YEAR(A299))</f>
        <v/>
      </c>
      <c r="M299" s="9" t="str">
        <f aca="false">IF(B299="","",B299&amp;"|"&amp;COUNTIF(B$2:B299,B299))</f>
        <v/>
      </c>
    </row>
    <row r="300" customFormat="false" ht="15" hidden="false" customHeight="false" outlineLevel="0" collapsed="false">
      <c r="A300" s="5"/>
      <c r="B300" s="6"/>
      <c r="C300" s="6"/>
      <c r="D300" s="6"/>
      <c r="E300" s="7" t="str">
        <f aca="false">IF(D300="","",IFERROR(INDEX(Товары!$B$2:$B$200,MATCH(D300,Товары!$A$2:$A$200,0)),"нет в справочнике"))</f>
        <v/>
      </c>
      <c r="F300" s="6"/>
      <c r="G300" s="8" t="str">
        <f aca="false">IF(D300="","",IFERROR(INDEX(Товары!$C$2:$C$200,MATCH(D300,Товары!$A$2:$A$200,0)),0))</f>
        <v/>
      </c>
      <c r="H300" s="8" t="str">
        <f aca="false">IF(D300="","",F300*G300)</f>
        <v/>
      </c>
      <c r="I300" s="8" t="str">
        <f aca="false">IF(D300="","",F300*IFERROR(INDEX(Товары!$D$2:$D$200,MATCH(D300,Товары!$A$2:$A$200,0)),0))</f>
        <v/>
      </c>
      <c r="J300" s="8" t="str">
        <f aca="false">IF(D300="","",H300-I300)</f>
        <v/>
      </c>
      <c r="K300" s="7" t="str">
        <f aca="false">IF(A300="","",MONTH(A300))</f>
        <v/>
      </c>
      <c r="L300" s="7" t="str">
        <f aca="false">IF(A300="","",YEAR(A300))</f>
        <v/>
      </c>
      <c r="M300" s="9" t="str">
        <f aca="false">IF(B300="","",B300&amp;"|"&amp;COUNTIF(B$2:B300,B300))</f>
        <v/>
      </c>
    </row>
    <row r="301" customFormat="false" ht="15" hidden="false" customHeight="false" outlineLevel="0" collapsed="false">
      <c r="A301" s="5"/>
      <c r="B301" s="6"/>
      <c r="C301" s="6"/>
      <c r="D301" s="6"/>
      <c r="E301" s="7" t="str">
        <f aca="false">IF(D301="","",IFERROR(INDEX(Товары!$B$2:$B$200,MATCH(D301,Товары!$A$2:$A$200,0)),"нет в справочнике"))</f>
        <v/>
      </c>
      <c r="F301" s="6"/>
      <c r="G301" s="8" t="str">
        <f aca="false">IF(D301="","",IFERROR(INDEX(Товары!$C$2:$C$200,MATCH(D301,Товары!$A$2:$A$200,0)),0))</f>
        <v/>
      </c>
      <c r="H301" s="8" t="str">
        <f aca="false">IF(D301="","",F301*G301)</f>
        <v/>
      </c>
      <c r="I301" s="8" t="str">
        <f aca="false">IF(D301="","",F301*IFERROR(INDEX(Товары!$D$2:$D$200,MATCH(D301,Товары!$A$2:$A$200,0)),0))</f>
        <v/>
      </c>
      <c r="J301" s="8" t="str">
        <f aca="false">IF(D301="","",H301-I301)</f>
        <v/>
      </c>
      <c r="K301" s="7" t="str">
        <f aca="false">IF(A301="","",MONTH(A301))</f>
        <v/>
      </c>
      <c r="L301" s="7" t="str">
        <f aca="false">IF(A301="","",YEAR(A301))</f>
        <v/>
      </c>
      <c r="M301" s="9" t="str">
        <f aca="false">IF(B301="","",B301&amp;"|"&amp;COUNTIF(B$2:B301,B301))</f>
        <v/>
      </c>
    </row>
    <row r="302" customFormat="false" ht="15" hidden="false" customHeight="false" outlineLevel="0" collapsed="false">
      <c r="A302" s="5"/>
      <c r="B302" s="6"/>
      <c r="C302" s="6"/>
      <c r="D302" s="6"/>
      <c r="E302" s="7" t="str">
        <f aca="false">IF(D302="","",IFERROR(INDEX(Товары!$B$2:$B$200,MATCH(D302,Товары!$A$2:$A$200,0)),"нет в справочнике"))</f>
        <v/>
      </c>
      <c r="F302" s="6"/>
      <c r="G302" s="8" t="str">
        <f aca="false">IF(D302="","",IFERROR(INDEX(Товары!$C$2:$C$200,MATCH(D302,Товары!$A$2:$A$200,0)),0))</f>
        <v/>
      </c>
      <c r="H302" s="8" t="str">
        <f aca="false">IF(D302="","",F302*G302)</f>
        <v/>
      </c>
      <c r="I302" s="8" t="str">
        <f aca="false">IF(D302="","",F302*IFERROR(INDEX(Товары!$D$2:$D$200,MATCH(D302,Товары!$A$2:$A$200,0)),0))</f>
        <v/>
      </c>
      <c r="J302" s="8" t="str">
        <f aca="false">IF(D302="","",H302-I302)</f>
        <v/>
      </c>
      <c r="K302" s="7" t="str">
        <f aca="false">IF(A302="","",MONTH(A302))</f>
        <v/>
      </c>
      <c r="L302" s="7" t="str">
        <f aca="false">IF(A302="","",YEAR(A302))</f>
        <v/>
      </c>
      <c r="M302" s="9" t="str">
        <f aca="false">IF(B302="","",B302&amp;"|"&amp;COUNTIF(B$2:B302,B302))</f>
        <v/>
      </c>
    </row>
    <row r="303" customFormat="false" ht="15" hidden="false" customHeight="false" outlineLevel="0" collapsed="false">
      <c r="A303" s="5"/>
      <c r="B303" s="6"/>
      <c r="C303" s="6"/>
      <c r="D303" s="6"/>
      <c r="E303" s="7" t="str">
        <f aca="false">IF(D303="","",IFERROR(INDEX(Товары!$B$2:$B$200,MATCH(D303,Товары!$A$2:$A$200,0)),"нет в справочнике"))</f>
        <v/>
      </c>
      <c r="F303" s="6"/>
      <c r="G303" s="8" t="str">
        <f aca="false">IF(D303="","",IFERROR(INDEX(Товары!$C$2:$C$200,MATCH(D303,Товары!$A$2:$A$200,0)),0))</f>
        <v/>
      </c>
      <c r="H303" s="8" t="str">
        <f aca="false">IF(D303="","",F303*G303)</f>
        <v/>
      </c>
      <c r="I303" s="8" t="str">
        <f aca="false">IF(D303="","",F303*IFERROR(INDEX(Товары!$D$2:$D$200,MATCH(D303,Товары!$A$2:$A$200,0)),0))</f>
        <v/>
      </c>
      <c r="J303" s="8" t="str">
        <f aca="false">IF(D303="","",H303-I303)</f>
        <v/>
      </c>
      <c r="K303" s="7" t="str">
        <f aca="false">IF(A303="","",MONTH(A303))</f>
        <v/>
      </c>
      <c r="L303" s="7" t="str">
        <f aca="false">IF(A303="","",YEAR(A303))</f>
        <v/>
      </c>
      <c r="M303" s="9" t="str">
        <f aca="false">IF(B303="","",B303&amp;"|"&amp;COUNTIF(B$2:B303,B303))</f>
        <v/>
      </c>
    </row>
    <row r="304" customFormat="false" ht="15" hidden="false" customHeight="false" outlineLevel="0" collapsed="false">
      <c r="A304" s="5"/>
      <c r="B304" s="6"/>
      <c r="C304" s="6"/>
      <c r="D304" s="6"/>
      <c r="E304" s="7" t="str">
        <f aca="false">IF(D304="","",IFERROR(INDEX(Товары!$B$2:$B$200,MATCH(D304,Товары!$A$2:$A$200,0)),"нет в справочнике"))</f>
        <v/>
      </c>
      <c r="F304" s="6"/>
      <c r="G304" s="8" t="str">
        <f aca="false">IF(D304="","",IFERROR(INDEX(Товары!$C$2:$C$200,MATCH(D304,Товары!$A$2:$A$200,0)),0))</f>
        <v/>
      </c>
      <c r="H304" s="8" t="str">
        <f aca="false">IF(D304="","",F304*G304)</f>
        <v/>
      </c>
      <c r="I304" s="8" t="str">
        <f aca="false">IF(D304="","",F304*IFERROR(INDEX(Товары!$D$2:$D$200,MATCH(D304,Товары!$A$2:$A$200,0)),0))</f>
        <v/>
      </c>
      <c r="J304" s="8" t="str">
        <f aca="false">IF(D304="","",H304-I304)</f>
        <v/>
      </c>
      <c r="K304" s="7" t="str">
        <f aca="false">IF(A304="","",MONTH(A304))</f>
        <v/>
      </c>
      <c r="L304" s="7" t="str">
        <f aca="false">IF(A304="","",YEAR(A304))</f>
        <v/>
      </c>
      <c r="M304" s="9" t="str">
        <f aca="false">IF(B304="","",B304&amp;"|"&amp;COUNTIF(B$2:B304,B304))</f>
        <v/>
      </c>
    </row>
    <row r="305" customFormat="false" ht="15" hidden="false" customHeight="false" outlineLevel="0" collapsed="false">
      <c r="A305" s="5"/>
      <c r="B305" s="6"/>
      <c r="C305" s="6"/>
      <c r="D305" s="6"/>
      <c r="E305" s="7" t="str">
        <f aca="false">IF(D305="","",IFERROR(INDEX(Товары!$B$2:$B$200,MATCH(D305,Товары!$A$2:$A$200,0)),"нет в справочнике"))</f>
        <v/>
      </c>
      <c r="F305" s="6"/>
      <c r="G305" s="8" t="str">
        <f aca="false">IF(D305="","",IFERROR(INDEX(Товары!$C$2:$C$200,MATCH(D305,Товары!$A$2:$A$200,0)),0))</f>
        <v/>
      </c>
      <c r="H305" s="8" t="str">
        <f aca="false">IF(D305="","",F305*G305)</f>
        <v/>
      </c>
      <c r="I305" s="8" t="str">
        <f aca="false">IF(D305="","",F305*IFERROR(INDEX(Товары!$D$2:$D$200,MATCH(D305,Товары!$A$2:$A$200,0)),0))</f>
        <v/>
      </c>
      <c r="J305" s="8" t="str">
        <f aca="false">IF(D305="","",H305-I305)</f>
        <v/>
      </c>
      <c r="K305" s="7" t="str">
        <f aca="false">IF(A305="","",MONTH(A305))</f>
        <v/>
      </c>
      <c r="L305" s="7" t="str">
        <f aca="false">IF(A305="","",YEAR(A305))</f>
        <v/>
      </c>
      <c r="M305" s="9" t="str">
        <f aca="false">IF(B305="","",B305&amp;"|"&amp;COUNTIF(B$2:B305,B305))</f>
        <v/>
      </c>
    </row>
    <row r="306" customFormat="false" ht="15" hidden="false" customHeight="false" outlineLevel="0" collapsed="false">
      <c r="A306" s="5"/>
      <c r="B306" s="6"/>
      <c r="C306" s="6"/>
      <c r="D306" s="6"/>
      <c r="E306" s="7" t="str">
        <f aca="false">IF(D306="","",IFERROR(INDEX(Товары!$B$2:$B$200,MATCH(D306,Товары!$A$2:$A$200,0)),"нет в справочнике"))</f>
        <v/>
      </c>
      <c r="F306" s="6"/>
      <c r="G306" s="8" t="str">
        <f aca="false">IF(D306="","",IFERROR(INDEX(Товары!$C$2:$C$200,MATCH(D306,Товары!$A$2:$A$200,0)),0))</f>
        <v/>
      </c>
      <c r="H306" s="8" t="str">
        <f aca="false">IF(D306="","",F306*G306)</f>
        <v/>
      </c>
      <c r="I306" s="8" t="str">
        <f aca="false">IF(D306="","",F306*IFERROR(INDEX(Товары!$D$2:$D$200,MATCH(D306,Товары!$A$2:$A$200,0)),0))</f>
        <v/>
      </c>
      <c r="J306" s="8" t="str">
        <f aca="false">IF(D306="","",H306-I306)</f>
        <v/>
      </c>
      <c r="K306" s="7" t="str">
        <f aca="false">IF(A306="","",MONTH(A306))</f>
        <v/>
      </c>
      <c r="L306" s="7" t="str">
        <f aca="false">IF(A306="","",YEAR(A306))</f>
        <v/>
      </c>
      <c r="M306" s="9" t="str">
        <f aca="false">IF(B306="","",B306&amp;"|"&amp;COUNTIF(B$2:B306,B306))</f>
        <v/>
      </c>
    </row>
    <row r="307" customFormat="false" ht="15" hidden="false" customHeight="false" outlineLevel="0" collapsed="false">
      <c r="A307" s="5"/>
      <c r="B307" s="6"/>
      <c r="C307" s="6"/>
      <c r="D307" s="6"/>
      <c r="E307" s="7" t="str">
        <f aca="false">IF(D307="","",IFERROR(INDEX(Товары!$B$2:$B$200,MATCH(D307,Товары!$A$2:$A$200,0)),"нет в справочнике"))</f>
        <v/>
      </c>
      <c r="F307" s="6"/>
      <c r="G307" s="8" t="str">
        <f aca="false">IF(D307="","",IFERROR(INDEX(Товары!$C$2:$C$200,MATCH(D307,Товары!$A$2:$A$200,0)),0))</f>
        <v/>
      </c>
      <c r="H307" s="8" t="str">
        <f aca="false">IF(D307="","",F307*G307)</f>
        <v/>
      </c>
      <c r="I307" s="8" t="str">
        <f aca="false">IF(D307="","",F307*IFERROR(INDEX(Товары!$D$2:$D$200,MATCH(D307,Товары!$A$2:$A$200,0)),0))</f>
        <v/>
      </c>
      <c r="J307" s="8" t="str">
        <f aca="false">IF(D307="","",H307-I307)</f>
        <v/>
      </c>
      <c r="K307" s="7" t="str">
        <f aca="false">IF(A307="","",MONTH(A307))</f>
        <v/>
      </c>
      <c r="L307" s="7" t="str">
        <f aca="false">IF(A307="","",YEAR(A307))</f>
        <v/>
      </c>
      <c r="M307" s="9" t="str">
        <f aca="false">IF(B307="","",B307&amp;"|"&amp;COUNTIF(B$2:B307,B307))</f>
        <v/>
      </c>
    </row>
    <row r="308" customFormat="false" ht="15" hidden="false" customHeight="false" outlineLevel="0" collapsed="false">
      <c r="A308" s="5"/>
      <c r="B308" s="6"/>
      <c r="C308" s="6"/>
      <c r="D308" s="6"/>
      <c r="E308" s="7" t="str">
        <f aca="false">IF(D308="","",IFERROR(INDEX(Товары!$B$2:$B$200,MATCH(D308,Товары!$A$2:$A$200,0)),"нет в справочнике"))</f>
        <v/>
      </c>
      <c r="F308" s="6"/>
      <c r="G308" s="8" t="str">
        <f aca="false">IF(D308="","",IFERROR(INDEX(Товары!$C$2:$C$200,MATCH(D308,Товары!$A$2:$A$200,0)),0))</f>
        <v/>
      </c>
      <c r="H308" s="8" t="str">
        <f aca="false">IF(D308="","",F308*G308)</f>
        <v/>
      </c>
      <c r="I308" s="8" t="str">
        <f aca="false">IF(D308="","",F308*IFERROR(INDEX(Товары!$D$2:$D$200,MATCH(D308,Товары!$A$2:$A$200,0)),0))</f>
        <v/>
      </c>
      <c r="J308" s="8" t="str">
        <f aca="false">IF(D308="","",H308-I308)</f>
        <v/>
      </c>
      <c r="K308" s="7" t="str">
        <f aca="false">IF(A308="","",MONTH(A308))</f>
        <v/>
      </c>
      <c r="L308" s="7" t="str">
        <f aca="false">IF(A308="","",YEAR(A308))</f>
        <v/>
      </c>
      <c r="M308" s="9" t="str">
        <f aca="false">IF(B308="","",B308&amp;"|"&amp;COUNTIF(B$2:B308,B308))</f>
        <v/>
      </c>
    </row>
    <row r="309" customFormat="false" ht="15" hidden="false" customHeight="false" outlineLevel="0" collapsed="false">
      <c r="A309" s="5"/>
      <c r="B309" s="6"/>
      <c r="C309" s="6"/>
      <c r="D309" s="6"/>
      <c r="E309" s="7" t="str">
        <f aca="false">IF(D309="","",IFERROR(INDEX(Товары!$B$2:$B$200,MATCH(D309,Товары!$A$2:$A$200,0)),"нет в справочнике"))</f>
        <v/>
      </c>
      <c r="F309" s="6"/>
      <c r="G309" s="8" t="str">
        <f aca="false">IF(D309="","",IFERROR(INDEX(Товары!$C$2:$C$200,MATCH(D309,Товары!$A$2:$A$200,0)),0))</f>
        <v/>
      </c>
      <c r="H309" s="8" t="str">
        <f aca="false">IF(D309="","",F309*G309)</f>
        <v/>
      </c>
      <c r="I309" s="8" t="str">
        <f aca="false">IF(D309="","",F309*IFERROR(INDEX(Товары!$D$2:$D$200,MATCH(D309,Товары!$A$2:$A$200,0)),0))</f>
        <v/>
      </c>
      <c r="J309" s="8" t="str">
        <f aca="false">IF(D309="","",H309-I309)</f>
        <v/>
      </c>
      <c r="K309" s="7" t="str">
        <f aca="false">IF(A309="","",MONTH(A309))</f>
        <v/>
      </c>
      <c r="L309" s="7" t="str">
        <f aca="false">IF(A309="","",YEAR(A309))</f>
        <v/>
      </c>
      <c r="M309" s="9" t="str">
        <f aca="false">IF(B309="","",B309&amp;"|"&amp;COUNTIF(B$2:B309,B309))</f>
        <v/>
      </c>
    </row>
    <row r="310" customFormat="false" ht="15" hidden="false" customHeight="false" outlineLevel="0" collapsed="false">
      <c r="A310" s="5"/>
      <c r="B310" s="6"/>
      <c r="C310" s="6"/>
      <c r="D310" s="6"/>
      <c r="E310" s="7" t="str">
        <f aca="false">IF(D310="","",IFERROR(INDEX(Товары!$B$2:$B$200,MATCH(D310,Товары!$A$2:$A$200,0)),"нет в справочнике"))</f>
        <v/>
      </c>
      <c r="F310" s="6"/>
      <c r="G310" s="8" t="str">
        <f aca="false">IF(D310="","",IFERROR(INDEX(Товары!$C$2:$C$200,MATCH(D310,Товары!$A$2:$A$200,0)),0))</f>
        <v/>
      </c>
      <c r="H310" s="8" t="str">
        <f aca="false">IF(D310="","",F310*G310)</f>
        <v/>
      </c>
      <c r="I310" s="8" t="str">
        <f aca="false">IF(D310="","",F310*IFERROR(INDEX(Товары!$D$2:$D$200,MATCH(D310,Товары!$A$2:$A$200,0)),0))</f>
        <v/>
      </c>
      <c r="J310" s="8" t="str">
        <f aca="false">IF(D310="","",H310-I310)</f>
        <v/>
      </c>
      <c r="K310" s="7" t="str">
        <f aca="false">IF(A310="","",MONTH(A310))</f>
        <v/>
      </c>
      <c r="L310" s="7" t="str">
        <f aca="false">IF(A310="","",YEAR(A310))</f>
        <v/>
      </c>
      <c r="M310" s="9" t="str">
        <f aca="false">IF(B310="","",B310&amp;"|"&amp;COUNTIF(B$2:B310,B310))</f>
        <v/>
      </c>
    </row>
    <row r="311" customFormat="false" ht="15" hidden="false" customHeight="false" outlineLevel="0" collapsed="false">
      <c r="A311" s="5"/>
      <c r="B311" s="6"/>
      <c r="C311" s="6"/>
      <c r="D311" s="6"/>
      <c r="E311" s="7" t="str">
        <f aca="false">IF(D311="","",IFERROR(INDEX(Товары!$B$2:$B$200,MATCH(D311,Товары!$A$2:$A$200,0)),"нет в справочнике"))</f>
        <v/>
      </c>
      <c r="F311" s="6"/>
      <c r="G311" s="8" t="str">
        <f aca="false">IF(D311="","",IFERROR(INDEX(Товары!$C$2:$C$200,MATCH(D311,Товары!$A$2:$A$200,0)),0))</f>
        <v/>
      </c>
      <c r="H311" s="8" t="str">
        <f aca="false">IF(D311="","",F311*G311)</f>
        <v/>
      </c>
      <c r="I311" s="8" t="str">
        <f aca="false">IF(D311="","",F311*IFERROR(INDEX(Товары!$D$2:$D$200,MATCH(D311,Товары!$A$2:$A$200,0)),0))</f>
        <v/>
      </c>
      <c r="J311" s="8" t="str">
        <f aca="false">IF(D311="","",H311-I311)</f>
        <v/>
      </c>
      <c r="K311" s="7" t="str">
        <f aca="false">IF(A311="","",MONTH(A311))</f>
        <v/>
      </c>
      <c r="L311" s="7" t="str">
        <f aca="false">IF(A311="","",YEAR(A311))</f>
        <v/>
      </c>
      <c r="M311" s="9" t="str">
        <f aca="false">IF(B311="","",B311&amp;"|"&amp;COUNTIF(B$2:B311,B311))</f>
        <v/>
      </c>
    </row>
    <row r="312" customFormat="false" ht="15" hidden="false" customHeight="false" outlineLevel="0" collapsed="false">
      <c r="A312" s="5"/>
      <c r="B312" s="6"/>
      <c r="C312" s="6"/>
      <c r="D312" s="6"/>
      <c r="E312" s="7" t="str">
        <f aca="false">IF(D312="","",IFERROR(INDEX(Товары!$B$2:$B$200,MATCH(D312,Товары!$A$2:$A$200,0)),"нет в справочнике"))</f>
        <v/>
      </c>
      <c r="F312" s="6"/>
      <c r="G312" s="8" t="str">
        <f aca="false">IF(D312="","",IFERROR(INDEX(Товары!$C$2:$C$200,MATCH(D312,Товары!$A$2:$A$200,0)),0))</f>
        <v/>
      </c>
      <c r="H312" s="8" t="str">
        <f aca="false">IF(D312="","",F312*G312)</f>
        <v/>
      </c>
      <c r="I312" s="8" t="str">
        <f aca="false">IF(D312="","",F312*IFERROR(INDEX(Товары!$D$2:$D$200,MATCH(D312,Товары!$A$2:$A$200,0)),0))</f>
        <v/>
      </c>
      <c r="J312" s="8" t="str">
        <f aca="false">IF(D312="","",H312-I312)</f>
        <v/>
      </c>
      <c r="K312" s="7" t="str">
        <f aca="false">IF(A312="","",MONTH(A312))</f>
        <v/>
      </c>
      <c r="L312" s="7" t="str">
        <f aca="false">IF(A312="","",YEAR(A312))</f>
        <v/>
      </c>
      <c r="M312" s="9" t="str">
        <f aca="false">IF(B312="","",B312&amp;"|"&amp;COUNTIF(B$2:B312,B312))</f>
        <v/>
      </c>
    </row>
    <row r="313" customFormat="false" ht="15" hidden="false" customHeight="false" outlineLevel="0" collapsed="false">
      <c r="A313" s="5"/>
      <c r="B313" s="6"/>
      <c r="C313" s="6"/>
      <c r="D313" s="6"/>
      <c r="E313" s="7" t="str">
        <f aca="false">IF(D313="","",IFERROR(INDEX(Товары!$B$2:$B$200,MATCH(D313,Товары!$A$2:$A$200,0)),"нет в справочнике"))</f>
        <v/>
      </c>
      <c r="F313" s="6"/>
      <c r="G313" s="8" t="str">
        <f aca="false">IF(D313="","",IFERROR(INDEX(Товары!$C$2:$C$200,MATCH(D313,Товары!$A$2:$A$200,0)),0))</f>
        <v/>
      </c>
      <c r="H313" s="8" t="str">
        <f aca="false">IF(D313="","",F313*G313)</f>
        <v/>
      </c>
      <c r="I313" s="8" t="str">
        <f aca="false">IF(D313="","",F313*IFERROR(INDEX(Товары!$D$2:$D$200,MATCH(D313,Товары!$A$2:$A$200,0)),0))</f>
        <v/>
      </c>
      <c r="J313" s="8" t="str">
        <f aca="false">IF(D313="","",H313-I313)</f>
        <v/>
      </c>
      <c r="K313" s="7" t="str">
        <f aca="false">IF(A313="","",MONTH(A313))</f>
        <v/>
      </c>
      <c r="L313" s="7" t="str">
        <f aca="false">IF(A313="","",YEAR(A313))</f>
        <v/>
      </c>
      <c r="M313" s="9" t="str">
        <f aca="false">IF(B313="","",B313&amp;"|"&amp;COUNTIF(B$2:B313,B313))</f>
        <v/>
      </c>
    </row>
    <row r="314" customFormat="false" ht="15" hidden="false" customHeight="false" outlineLevel="0" collapsed="false">
      <c r="A314" s="5"/>
      <c r="B314" s="6"/>
      <c r="C314" s="6"/>
      <c r="D314" s="6"/>
      <c r="E314" s="7" t="str">
        <f aca="false">IF(D314="","",IFERROR(INDEX(Товары!$B$2:$B$200,MATCH(D314,Товары!$A$2:$A$200,0)),"нет в справочнике"))</f>
        <v/>
      </c>
      <c r="F314" s="6"/>
      <c r="G314" s="8" t="str">
        <f aca="false">IF(D314="","",IFERROR(INDEX(Товары!$C$2:$C$200,MATCH(D314,Товары!$A$2:$A$200,0)),0))</f>
        <v/>
      </c>
      <c r="H314" s="8" t="str">
        <f aca="false">IF(D314="","",F314*G314)</f>
        <v/>
      </c>
      <c r="I314" s="8" t="str">
        <f aca="false">IF(D314="","",F314*IFERROR(INDEX(Товары!$D$2:$D$200,MATCH(D314,Товары!$A$2:$A$200,0)),0))</f>
        <v/>
      </c>
      <c r="J314" s="8" t="str">
        <f aca="false">IF(D314="","",H314-I314)</f>
        <v/>
      </c>
      <c r="K314" s="7" t="str">
        <f aca="false">IF(A314="","",MONTH(A314))</f>
        <v/>
      </c>
      <c r="L314" s="7" t="str">
        <f aca="false">IF(A314="","",YEAR(A314))</f>
        <v/>
      </c>
      <c r="M314" s="9" t="str">
        <f aca="false">IF(B314="","",B314&amp;"|"&amp;COUNTIF(B$2:B314,B314))</f>
        <v/>
      </c>
    </row>
    <row r="315" customFormat="false" ht="15" hidden="false" customHeight="false" outlineLevel="0" collapsed="false">
      <c r="A315" s="5"/>
      <c r="B315" s="6"/>
      <c r="C315" s="6"/>
      <c r="D315" s="6"/>
      <c r="E315" s="7" t="str">
        <f aca="false">IF(D315="","",IFERROR(INDEX(Товары!$B$2:$B$200,MATCH(D315,Товары!$A$2:$A$200,0)),"нет в справочнике"))</f>
        <v/>
      </c>
      <c r="F315" s="6"/>
      <c r="G315" s="8" t="str">
        <f aca="false">IF(D315="","",IFERROR(INDEX(Товары!$C$2:$C$200,MATCH(D315,Товары!$A$2:$A$200,0)),0))</f>
        <v/>
      </c>
      <c r="H315" s="8" t="str">
        <f aca="false">IF(D315="","",F315*G315)</f>
        <v/>
      </c>
      <c r="I315" s="8" t="str">
        <f aca="false">IF(D315="","",F315*IFERROR(INDEX(Товары!$D$2:$D$200,MATCH(D315,Товары!$A$2:$A$200,0)),0))</f>
        <v/>
      </c>
      <c r="J315" s="8" t="str">
        <f aca="false">IF(D315="","",H315-I315)</f>
        <v/>
      </c>
      <c r="K315" s="7" t="str">
        <f aca="false">IF(A315="","",MONTH(A315))</f>
        <v/>
      </c>
      <c r="L315" s="7" t="str">
        <f aca="false">IF(A315="","",YEAR(A315))</f>
        <v/>
      </c>
      <c r="M315" s="9" t="str">
        <f aca="false">IF(B315="","",B315&amp;"|"&amp;COUNTIF(B$2:B315,B315))</f>
        <v/>
      </c>
    </row>
    <row r="316" customFormat="false" ht="15" hidden="false" customHeight="false" outlineLevel="0" collapsed="false">
      <c r="A316" s="5"/>
      <c r="B316" s="6"/>
      <c r="C316" s="6"/>
      <c r="D316" s="6"/>
      <c r="E316" s="7" t="str">
        <f aca="false">IF(D316="","",IFERROR(INDEX(Товары!$B$2:$B$200,MATCH(D316,Товары!$A$2:$A$200,0)),"нет в справочнике"))</f>
        <v/>
      </c>
      <c r="F316" s="6"/>
      <c r="G316" s="8" t="str">
        <f aca="false">IF(D316="","",IFERROR(INDEX(Товары!$C$2:$C$200,MATCH(D316,Товары!$A$2:$A$200,0)),0))</f>
        <v/>
      </c>
      <c r="H316" s="8" t="str">
        <f aca="false">IF(D316="","",F316*G316)</f>
        <v/>
      </c>
      <c r="I316" s="8" t="str">
        <f aca="false">IF(D316="","",F316*IFERROR(INDEX(Товары!$D$2:$D$200,MATCH(D316,Товары!$A$2:$A$200,0)),0))</f>
        <v/>
      </c>
      <c r="J316" s="8" t="str">
        <f aca="false">IF(D316="","",H316-I316)</f>
        <v/>
      </c>
      <c r="K316" s="7" t="str">
        <f aca="false">IF(A316="","",MONTH(A316))</f>
        <v/>
      </c>
      <c r="L316" s="7" t="str">
        <f aca="false">IF(A316="","",YEAR(A316))</f>
        <v/>
      </c>
      <c r="M316" s="9" t="str">
        <f aca="false">IF(B316="","",B316&amp;"|"&amp;COUNTIF(B$2:B316,B316))</f>
        <v/>
      </c>
    </row>
    <row r="317" customFormat="false" ht="15" hidden="false" customHeight="false" outlineLevel="0" collapsed="false">
      <c r="A317" s="5"/>
      <c r="B317" s="6"/>
      <c r="C317" s="6"/>
      <c r="D317" s="6"/>
      <c r="E317" s="7" t="str">
        <f aca="false">IF(D317="","",IFERROR(INDEX(Товары!$B$2:$B$200,MATCH(D317,Товары!$A$2:$A$200,0)),"нет в справочнике"))</f>
        <v/>
      </c>
      <c r="F317" s="6"/>
      <c r="G317" s="8" t="str">
        <f aca="false">IF(D317="","",IFERROR(INDEX(Товары!$C$2:$C$200,MATCH(D317,Товары!$A$2:$A$200,0)),0))</f>
        <v/>
      </c>
      <c r="H317" s="8" t="str">
        <f aca="false">IF(D317="","",F317*G317)</f>
        <v/>
      </c>
      <c r="I317" s="8" t="str">
        <f aca="false">IF(D317="","",F317*IFERROR(INDEX(Товары!$D$2:$D$200,MATCH(D317,Товары!$A$2:$A$200,0)),0))</f>
        <v/>
      </c>
      <c r="J317" s="8" t="str">
        <f aca="false">IF(D317="","",H317-I317)</f>
        <v/>
      </c>
      <c r="K317" s="7" t="str">
        <f aca="false">IF(A317="","",MONTH(A317))</f>
        <v/>
      </c>
      <c r="L317" s="7" t="str">
        <f aca="false">IF(A317="","",YEAR(A317))</f>
        <v/>
      </c>
      <c r="M317" s="9" t="str">
        <f aca="false">IF(B317="","",B317&amp;"|"&amp;COUNTIF(B$2:B317,B317))</f>
        <v/>
      </c>
    </row>
    <row r="318" customFormat="false" ht="15" hidden="false" customHeight="false" outlineLevel="0" collapsed="false">
      <c r="A318" s="5"/>
      <c r="B318" s="6"/>
      <c r="C318" s="6"/>
      <c r="D318" s="6"/>
      <c r="E318" s="7" t="str">
        <f aca="false">IF(D318="","",IFERROR(INDEX(Товары!$B$2:$B$200,MATCH(D318,Товары!$A$2:$A$200,0)),"нет в справочнике"))</f>
        <v/>
      </c>
      <c r="F318" s="6"/>
      <c r="G318" s="8" t="str">
        <f aca="false">IF(D318="","",IFERROR(INDEX(Товары!$C$2:$C$200,MATCH(D318,Товары!$A$2:$A$200,0)),0))</f>
        <v/>
      </c>
      <c r="H318" s="8" t="str">
        <f aca="false">IF(D318="","",F318*G318)</f>
        <v/>
      </c>
      <c r="I318" s="8" t="str">
        <f aca="false">IF(D318="","",F318*IFERROR(INDEX(Товары!$D$2:$D$200,MATCH(D318,Товары!$A$2:$A$200,0)),0))</f>
        <v/>
      </c>
      <c r="J318" s="8" t="str">
        <f aca="false">IF(D318="","",H318-I318)</f>
        <v/>
      </c>
      <c r="K318" s="7" t="str">
        <f aca="false">IF(A318="","",MONTH(A318))</f>
        <v/>
      </c>
      <c r="L318" s="7" t="str">
        <f aca="false">IF(A318="","",YEAR(A318))</f>
        <v/>
      </c>
      <c r="M318" s="9" t="str">
        <f aca="false">IF(B318="","",B318&amp;"|"&amp;COUNTIF(B$2:B318,B318))</f>
        <v/>
      </c>
    </row>
    <row r="319" customFormat="false" ht="15" hidden="false" customHeight="false" outlineLevel="0" collapsed="false">
      <c r="A319" s="5"/>
      <c r="B319" s="6"/>
      <c r="C319" s="6"/>
      <c r="D319" s="6"/>
      <c r="E319" s="7" t="str">
        <f aca="false">IF(D319="","",IFERROR(INDEX(Товары!$B$2:$B$200,MATCH(D319,Товары!$A$2:$A$200,0)),"нет в справочнике"))</f>
        <v/>
      </c>
      <c r="F319" s="6"/>
      <c r="G319" s="8" t="str">
        <f aca="false">IF(D319="","",IFERROR(INDEX(Товары!$C$2:$C$200,MATCH(D319,Товары!$A$2:$A$200,0)),0))</f>
        <v/>
      </c>
      <c r="H319" s="8" t="str">
        <f aca="false">IF(D319="","",F319*G319)</f>
        <v/>
      </c>
      <c r="I319" s="8" t="str">
        <f aca="false">IF(D319="","",F319*IFERROR(INDEX(Товары!$D$2:$D$200,MATCH(D319,Товары!$A$2:$A$200,0)),0))</f>
        <v/>
      </c>
      <c r="J319" s="8" t="str">
        <f aca="false">IF(D319="","",H319-I319)</f>
        <v/>
      </c>
      <c r="K319" s="7" t="str">
        <f aca="false">IF(A319="","",MONTH(A319))</f>
        <v/>
      </c>
      <c r="L319" s="7" t="str">
        <f aca="false">IF(A319="","",YEAR(A319))</f>
        <v/>
      </c>
      <c r="M319" s="9" t="str">
        <f aca="false">IF(B319="","",B319&amp;"|"&amp;COUNTIF(B$2:B319,B319))</f>
        <v/>
      </c>
    </row>
    <row r="320" customFormat="false" ht="15" hidden="false" customHeight="false" outlineLevel="0" collapsed="false">
      <c r="A320" s="5"/>
      <c r="B320" s="6"/>
      <c r="C320" s="6"/>
      <c r="D320" s="6"/>
      <c r="E320" s="7" t="str">
        <f aca="false">IF(D320="","",IFERROR(INDEX(Товары!$B$2:$B$200,MATCH(D320,Товары!$A$2:$A$200,0)),"нет в справочнике"))</f>
        <v/>
      </c>
      <c r="F320" s="6"/>
      <c r="G320" s="8" t="str">
        <f aca="false">IF(D320="","",IFERROR(INDEX(Товары!$C$2:$C$200,MATCH(D320,Товары!$A$2:$A$200,0)),0))</f>
        <v/>
      </c>
      <c r="H320" s="8" t="str">
        <f aca="false">IF(D320="","",F320*G320)</f>
        <v/>
      </c>
      <c r="I320" s="8" t="str">
        <f aca="false">IF(D320="","",F320*IFERROR(INDEX(Товары!$D$2:$D$200,MATCH(D320,Товары!$A$2:$A$200,0)),0))</f>
        <v/>
      </c>
      <c r="J320" s="8" t="str">
        <f aca="false">IF(D320="","",H320-I320)</f>
        <v/>
      </c>
      <c r="K320" s="7" t="str">
        <f aca="false">IF(A320="","",MONTH(A320))</f>
        <v/>
      </c>
      <c r="L320" s="7" t="str">
        <f aca="false">IF(A320="","",YEAR(A320))</f>
        <v/>
      </c>
      <c r="M320" s="9" t="str">
        <f aca="false">IF(B320="","",B320&amp;"|"&amp;COUNTIF(B$2:B320,B320))</f>
        <v/>
      </c>
    </row>
    <row r="321" customFormat="false" ht="15" hidden="false" customHeight="false" outlineLevel="0" collapsed="false">
      <c r="A321" s="5"/>
      <c r="B321" s="6"/>
      <c r="C321" s="6"/>
      <c r="D321" s="6"/>
      <c r="E321" s="7" t="str">
        <f aca="false">IF(D321="","",IFERROR(INDEX(Товары!$B$2:$B$200,MATCH(D321,Товары!$A$2:$A$200,0)),"нет в справочнике"))</f>
        <v/>
      </c>
      <c r="F321" s="6"/>
      <c r="G321" s="8" t="str">
        <f aca="false">IF(D321="","",IFERROR(INDEX(Товары!$C$2:$C$200,MATCH(D321,Товары!$A$2:$A$200,0)),0))</f>
        <v/>
      </c>
      <c r="H321" s="8" t="str">
        <f aca="false">IF(D321="","",F321*G321)</f>
        <v/>
      </c>
      <c r="I321" s="8" t="str">
        <f aca="false">IF(D321="","",F321*IFERROR(INDEX(Товары!$D$2:$D$200,MATCH(D321,Товары!$A$2:$A$200,0)),0))</f>
        <v/>
      </c>
      <c r="J321" s="8" t="str">
        <f aca="false">IF(D321="","",H321-I321)</f>
        <v/>
      </c>
      <c r="K321" s="7" t="str">
        <f aca="false">IF(A321="","",MONTH(A321))</f>
        <v/>
      </c>
      <c r="L321" s="7" t="str">
        <f aca="false">IF(A321="","",YEAR(A321))</f>
        <v/>
      </c>
      <c r="M321" s="9" t="str">
        <f aca="false">IF(B321="","",B321&amp;"|"&amp;COUNTIF(B$2:B321,B321))</f>
        <v/>
      </c>
    </row>
    <row r="322" customFormat="false" ht="15" hidden="false" customHeight="false" outlineLevel="0" collapsed="false">
      <c r="A322" s="5"/>
      <c r="B322" s="6"/>
      <c r="C322" s="6"/>
      <c r="D322" s="6"/>
      <c r="E322" s="7" t="str">
        <f aca="false">IF(D322="","",IFERROR(INDEX(Товары!$B$2:$B$200,MATCH(D322,Товары!$A$2:$A$200,0)),"нет в справочнике"))</f>
        <v/>
      </c>
      <c r="F322" s="6"/>
      <c r="G322" s="8" t="str">
        <f aca="false">IF(D322="","",IFERROR(INDEX(Товары!$C$2:$C$200,MATCH(D322,Товары!$A$2:$A$200,0)),0))</f>
        <v/>
      </c>
      <c r="H322" s="8" t="str">
        <f aca="false">IF(D322="","",F322*G322)</f>
        <v/>
      </c>
      <c r="I322" s="8" t="str">
        <f aca="false">IF(D322="","",F322*IFERROR(INDEX(Товары!$D$2:$D$200,MATCH(D322,Товары!$A$2:$A$200,0)),0))</f>
        <v/>
      </c>
      <c r="J322" s="8" t="str">
        <f aca="false">IF(D322="","",H322-I322)</f>
        <v/>
      </c>
      <c r="K322" s="7" t="str">
        <f aca="false">IF(A322="","",MONTH(A322))</f>
        <v/>
      </c>
      <c r="L322" s="7" t="str">
        <f aca="false">IF(A322="","",YEAR(A322))</f>
        <v/>
      </c>
      <c r="M322" s="9" t="str">
        <f aca="false">IF(B322="","",B322&amp;"|"&amp;COUNTIF(B$2:B322,B322))</f>
        <v/>
      </c>
    </row>
    <row r="323" customFormat="false" ht="15" hidden="false" customHeight="false" outlineLevel="0" collapsed="false">
      <c r="A323" s="5"/>
      <c r="B323" s="6"/>
      <c r="C323" s="6"/>
      <c r="D323" s="6"/>
      <c r="E323" s="7" t="str">
        <f aca="false">IF(D323="","",IFERROR(INDEX(Товары!$B$2:$B$200,MATCH(D323,Товары!$A$2:$A$200,0)),"нет в справочнике"))</f>
        <v/>
      </c>
      <c r="F323" s="6"/>
      <c r="G323" s="8" t="str">
        <f aca="false">IF(D323="","",IFERROR(INDEX(Товары!$C$2:$C$200,MATCH(D323,Товары!$A$2:$A$200,0)),0))</f>
        <v/>
      </c>
      <c r="H323" s="8" t="str">
        <f aca="false">IF(D323="","",F323*G323)</f>
        <v/>
      </c>
      <c r="I323" s="8" t="str">
        <f aca="false">IF(D323="","",F323*IFERROR(INDEX(Товары!$D$2:$D$200,MATCH(D323,Товары!$A$2:$A$200,0)),0))</f>
        <v/>
      </c>
      <c r="J323" s="8" t="str">
        <f aca="false">IF(D323="","",H323-I323)</f>
        <v/>
      </c>
      <c r="K323" s="7" t="str">
        <f aca="false">IF(A323="","",MONTH(A323))</f>
        <v/>
      </c>
      <c r="L323" s="7" t="str">
        <f aca="false">IF(A323="","",YEAR(A323))</f>
        <v/>
      </c>
      <c r="M323" s="9" t="str">
        <f aca="false">IF(B323="","",B323&amp;"|"&amp;COUNTIF(B$2:B323,B323))</f>
        <v/>
      </c>
    </row>
    <row r="324" customFormat="false" ht="15" hidden="false" customHeight="false" outlineLevel="0" collapsed="false">
      <c r="A324" s="5"/>
      <c r="B324" s="6"/>
      <c r="C324" s="6"/>
      <c r="D324" s="6"/>
      <c r="E324" s="7" t="str">
        <f aca="false">IF(D324="","",IFERROR(INDEX(Товары!$B$2:$B$200,MATCH(D324,Товары!$A$2:$A$200,0)),"нет в справочнике"))</f>
        <v/>
      </c>
      <c r="F324" s="6"/>
      <c r="G324" s="8" t="str">
        <f aca="false">IF(D324="","",IFERROR(INDEX(Товары!$C$2:$C$200,MATCH(D324,Товары!$A$2:$A$200,0)),0))</f>
        <v/>
      </c>
      <c r="H324" s="8" t="str">
        <f aca="false">IF(D324="","",F324*G324)</f>
        <v/>
      </c>
      <c r="I324" s="8" t="str">
        <f aca="false">IF(D324="","",F324*IFERROR(INDEX(Товары!$D$2:$D$200,MATCH(D324,Товары!$A$2:$A$200,0)),0))</f>
        <v/>
      </c>
      <c r="J324" s="8" t="str">
        <f aca="false">IF(D324="","",H324-I324)</f>
        <v/>
      </c>
      <c r="K324" s="7" t="str">
        <f aca="false">IF(A324="","",MONTH(A324))</f>
        <v/>
      </c>
      <c r="L324" s="7" t="str">
        <f aca="false">IF(A324="","",YEAR(A324))</f>
        <v/>
      </c>
      <c r="M324" s="9" t="str">
        <f aca="false">IF(B324="","",B324&amp;"|"&amp;COUNTIF(B$2:B324,B324))</f>
        <v/>
      </c>
    </row>
    <row r="325" customFormat="false" ht="15" hidden="false" customHeight="false" outlineLevel="0" collapsed="false">
      <c r="A325" s="5"/>
      <c r="B325" s="6"/>
      <c r="C325" s="6"/>
      <c r="D325" s="6"/>
      <c r="E325" s="7" t="str">
        <f aca="false">IF(D325="","",IFERROR(INDEX(Товары!$B$2:$B$200,MATCH(D325,Товары!$A$2:$A$200,0)),"нет в справочнике"))</f>
        <v/>
      </c>
      <c r="F325" s="6"/>
      <c r="G325" s="8" t="str">
        <f aca="false">IF(D325="","",IFERROR(INDEX(Товары!$C$2:$C$200,MATCH(D325,Товары!$A$2:$A$200,0)),0))</f>
        <v/>
      </c>
      <c r="H325" s="8" t="str">
        <f aca="false">IF(D325="","",F325*G325)</f>
        <v/>
      </c>
      <c r="I325" s="8" t="str">
        <f aca="false">IF(D325="","",F325*IFERROR(INDEX(Товары!$D$2:$D$200,MATCH(D325,Товары!$A$2:$A$200,0)),0))</f>
        <v/>
      </c>
      <c r="J325" s="8" t="str">
        <f aca="false">IF(D325="","",H325-I325)</f>
        <v/>
      </c>
      <c r="K325" s="7" t="str">
        <f aca="false">IF(A325="","",MONTH(A325))</f>
        <v/>
      </c>
      <c r="L325" s="7" t="str">
        <f aca="false">IF(A325="","",YEAR(A325))</f>
        <v/>
      </c>
      <c r="M325" s="9" t="str">
        <f aca="false">IF(B325="","",B325&amp;"|"&amp;COUNTIF(B$2:B325,B325))</f>
        <v/>
      </c>
    </row>
    <row r="326" customFormat="false" ht="15" hidden="false" customHeight="false" outlineLevel="0" collapsed="false">
      <c r="A326" s="5"/>
      <c r="B326" s="6"/>
      <c r="C326" s="6"/>
      <c r="D326" s="6"/>
      <c r="E326" s="7" t="str">
        <f aca="false">IF(D326="","",IFERROR(INDEX(Товары!$B$2:$B$200,MATCH(D326,Товары!$A$2:$A$200,0)),"нет в справочнике"))</f>
        <v/>
      </c>
      <c r="F326" s="6"/>
      <c r="G326" s="8" t="str">
        <f aca="false">IF(D326="","",IFERROR(INDEX(Товары!$C$2:$C$200,MATCH(D326,Товары!$A$2:$A$200,0)),0))</f>
        <v/>
      </c>
      <c r="H326" s="8" t="str">
        <f aca="false">IF(D326="","",F326*G326)</f>
        <v/>
      </c>
      <c r="I326" s="8" t="str">
        <f aca="false">IF(D326="","",F326*IFERROR(INDEX(Товары!$D$2:$D$200,MATCH(D326,Товары!$A$2:$A$200,0)),0))</f>
        <v/>
      </c>
      <c r="J326" s="8" t="str">
        <f aca="false">IF(D326="","",H326-I326)</f>
        <v/>
      </c>
      <c r="K326" s="7" t="str">
        <f aca="false">IF(A326="","",MONTH(A326))</f>
        <v/>
      </c>
      <c r="L326" s="7" t="str">
        <f aca="false">IF(A326="","",YEAR(A326))</f>
        <v/>
      </c>
      <c r="M326" s="9" t="str">
        <f aca="false">IF(B326="","",B326&amp;"|"&amp;COUNTIF(B$2:B326,B326))</f>
        <v/>
      </c>
    </row>
    <row r="327" customFormat="false" ht="15" hidden="false" customHeight="false" outlineLevel="0" collapsed="false">
      <c r="A327" s="5"/>
      <c r="B327" s="6"/>
      <c r="C327" s="6"/>
      <c r="D327" s="6"/>
      <c r="E327" s="7" t="str">
        <f aca="false">IF(D327="","",IFERROR(INDEX(Товары!$B$2:$B$200,MATCH(D327,Товары!$A$2:$A$200,0)),"нет в справочнике"))</f>
        <v/>
      </c>
      <c r="F327" s="6"/>
      <c r="G327" s="8" t="str">
        <f aca="false">IF(D327="","",IFERROR(INDEX(Товары!$C$2:$C$200,MATCH(D327,Товары!$A$2:$A$200,0)),0))</f>
        <v/>
      </c>
      <c r="H327" s="8" t="str">
        <f aca="false">IF(D327="","",F327*G327)</f>
        <v/>
      </c>
      <c r="I327" s="8" t="str">
        <f aca="false">IF(D327="","",F327*IFERROR(INDEX(Товары!$D$2:$D$200,MATCH(D327,Товары!$A$2:$A$200,0)),0))</f>
        <v/>
      </c>
      <c r="J327" s="8" t="str">
        <f aca="false">IF(D327="","",H327-I327)</f>
        <v/>
      </c>
      <c r="K327" s="7" t="str">
        <f aca="false">IF(A327="","",MONTH(A327))</f>
        <v/>
      </c>
      <c r="L327" s="7" t="str">
        <f aca="false">IF(A327="","",YEAR(A327))</f>
        <v/>
      </c>
      <c r="M327" s="9" t="str">
        <f aca="false">IF(B327="","",B327&amp;"|"&amp;COUNTIF(B$2:B327,B327))</f>
        <v/>
      </c>
    </row>
    <row r="328" customFormat="false" ht="15" hidden="false" customHeight="false" outlineLevel="0" collapsed="false">
      <c r="A328" s="5"/>
      <c r="B328" s="6"/>
      <c r="C328" s="6"/>
      <c r="D328" s="6"/>
      <c r="E328" s="7" t="str">
        <f aca="false">IF(D328="","",IFERROR(INDEX(Товары!$B$2:$B$200,MATCH(D328,Товары!$A$2:$A$200,0)),"нет в справочнике"))</f>
        <v/>
      </c>
      <c r="F328" s="6"/>
      <c r="G328" s="8" t="str">
        <f aca="false">IF(D328="","",IFERROR(INDEX(Товары!$C$2:$C$200,MATCH(D328,Товары!$A$2:$A$200,0)),0))</f>
        <v/>
      </c>
      <c r="H328" s="8" t="str">
        <f aca="false">IF(D328="","",F328*G328)</f>
        <v/>
      </c>
      <c r="I328" s="8" t="str">
        <f aca="false">IF(D328="","",F328*IFERROR(INDEX(Товары!$D$2:$D$200,MATCH(D328,Товары!$A$2:$A$200,0)),0))</f>
        <v/>
      </c>
      <c r="J328" s="8" t="str">
        <f aca="false">IF(D328="","",H328-I328)</f>
        <v/>
      </c>
      <c r="K328" s="7" t="str">
        <f aca="false">IF(A328="","",MONTH(A328))</f>
        <v/>
      </c>
      <c r="L328" s="7" t="str">
        <f aca="false">IF(A328="","",YEAR(A328))</f>
        <v/>
      </c>
      <c r="M328" s="9" t="str">
        <f aca="false">IF(B328="","",B328&amp;"|"&amp;COUNTIF(B$2:B328,B328))</f>
        <v/>
      </c>
    </row>
    <row r="329" customFormat="false" ht="15" hidden="false" customHeight="false" outlineLevel="0" collapsed="false">
      <c r="A329" s="5"/>
      <c r="B329" s="6"/>
      <c r="C329" s="6"/>
      <c r="D329" s="6"/>
      <c r="E329" s="7" t="str">
        <f aca="false">IF(D329="","",IFERROR(INDEX(Товары!$B$2:$B$200,MATCH(D329,Товары!$A$2:$A$200,0)),"нет в справочнике"))</f>
        <v/>
      </c>
      <c r="F329" s="6"/>
      <c r="G329" s="8" t="str">
        <f aca="false">IF(D329="","",IFERROR(INDEX(Товары!$C$2:$C$200,MATCH(D329,Товары!$A$2:$A$200,0)),0))</f>
        <v/>
      </c>
      <c r="H329" s="8" t="str">
        <f aca="false">IF(D329="","",F329*G329)</f>
        <v/>
      </c>
      <c r="I329" s="8" t="str">
        <f aca="false">IF(D329="","",F329*IFERROR(INDEX(Товары!$D$2:$D$200,MATCH(D329,Товары!$A$2:$A$200,0)),0))</f>
        <v/>
      </c>
      <c r="J329" s="8" t="str">
        <f aca="false">IF(D329="","",H329-I329)</f>
        <v/>
      </c>
      <c r="K329" s="7" t="str">
        <f aca="false">IF(A329="","",MONTH(A329))</f>
        <v/>
      </c>
      <c r="L329" s="7" t="str">
        <f aca="false">IF(A329="","",YEAR(A329))</f>
        <v/>
      </c>
      <c r="M329" s="9" t="str">
        <f aca="false">IF(B329="","",B329&amp;"|"&amp;COUNTIF(B$2:B329,B329))</f>
        <v/>
      </c>
    </row>
    <row r="330" customFormat="false" ht="15" hidden="false" customHeight="false" outlineLevel="0" collapsed="false">
      <c r="A330" s="5"/>
      <c r="B330" s="6"/>
      <c r="C330" s="6"/>
      <c r="D330" s="6"/>
      <c r="E330" s="7" t="str">
        <f aca="false">IF(D330="","",IFERROR(INDEX(Товары!$B$2:$B$200,MATCH(D330,Товары!$A$2:$A$200,0)),"нет в справочнике"))</f>
        <v/>
      </c>
      <c r="F330" s="6"/>
      <c r="G330" s="8" t="str">
        <f aca="false">IF(D330="","",IFERROR(INDEX(Товары!$C$2:$C$200,MATCH(D330,Товары!$A$2:$A$200,0)),0))</f>
        <v/>
      </c>
      <c r="H330" s="8" t="str">
        <f aca="false">IF(D330="","",F330*G330)</f>
        <v/>
      </c>
      <c r="I330" s="8" t="str">
        <f aca="false">IF(D330="","",F330*IFERROR(INDEX(Товары!$D$2:$D$200,MATCH(D330,Товары!$A$2:$A$200,0)),0))</f>
        <v/>
      </c>
      <c r="J330" s="8" t="str">
        <f aca="false">IF(D330="","",H330-I330)</f>
        <v/>
      </c>
      <c r="K330" s="7" t="str">
        <f aca="false">IF(A330="","",MONTH(A330))</f>
        <v/>
      </c>
      <c r="L330" s="7" t="str">
        <f aca="false">IF(A330="","",YEAR(A330))</f>
        <v/>
      </c>
      <c r="M330" s="9" t="str">
        <f aca="false">IF(B330="","",B330&amp;"|"&amp;COUNTIF(B$2:B330,B330))</f>
        <v/>
      </c>
    </row>
    <row r="331" customFormat="false" ht="15" hidden="false" customHeight="false" outlineLevel="0" collapsed="false">
      <c r="A331" s="5"/>
      <c r="B331" s="6"/>
      <c r="C331" s="6"/>
      <c r="D331" s="6"/>
      <c r="E331" s="7" t="str">
        <f aca="false">IF(D331="","",IFERROR(INDEX(Товары!$B$2:$B$200,MATCH(D331,Товары!$A$2:$A$200,0)),"нет в справочнике"))</f>
        <v/>
      </c>
      <c r="F331" s="6"/>
      <c r="G331" s="8" t="str">
        <f aca="false">IF(D331="","",IFERROR(INDEX(Товары!$C$2:$C$200,MATCH(D331,Товары!$A$2:$A$200,0)),0))</f>
        <v/>
      </c>
      <c r="H331" s="8" t="str">
        <f aca="false">IF(D331="","",F331*G331)</f>
        <v/>
      </c>
      <c r="I331" s="8" t="str">
        <f aca="false">IF(D331="","",F331*IFERROR(INDEX(Товары!$D$2:$D$200,MATCH(D331,Товары!$A$2:$A$200,0)),0))</f>
        <v/>
      </c>
      <c r="J331" s="8" t="str">
        <f aca="false">IF(D331="","",H331-I331)</f>
        <v/>
      </c>
      <c r="K331" s="7" t="str">
        <f aca="false">IF(A331="","",MONTH(A331))</f>
        <v/>
      </c>
      <c r="L331" s="7" t="str">
        <f aca="false">IF(A331="","",YEAR(A331))</f>
        <v/>
      </c>
      <c r="M331" s="9" t="str">
        <f aca="false">IF(B331="","",B331&amp;"|"&amp;COUNTIF(B$2:B331,B331))</f>
        <v/>
      </c>
    </row>
    <row r="332" customFormat="false" ht="15" hidden="false" customHeight="false" outlineLevel="0" collapsed="false">
      <c r="A332" s="5"/>
      <c r="B332" s="6"/>
      <c r="C332" s="6"/>
      <c r="D332" s="6"/>
      <c r="E332" s="7" t="str">
        <f aca="false">IF(D332="","",IFERROR(INDEX(Товары!$B$2:$B$200,MATCH(D332,Товары!$A$2:$A$200,0)),"нет в справочнике"))</f>
        <v/>
      </c>
      <c r="F332" s="6"/>
      <c r="G332" s="8" t="str">
        <f aca="false">IF(D332="","",IFERROR(INDEX(Товары!$C$2:$C$200,MATCH(D332,Товары!$A$2:$A$200,0)),0))</f>
        <v/>
      </c>
      <c r="H332" s="8" t="str">
        <f aca="false">IF(D332="","",F332*G332)</f>
        <v/>
      </c>
      <c r="I332" s="8" t="str">
        <f aca="false">IF(D332="","",F332*IFERROR(INDEX(Товары!$D$2:$D$200,MATCH(D332,Товары!$A$2:$A$200,0)),0))</f>
        <v/>
      </c>
      <c r="J332" s="8" t="str">
        <f aca="false">IF(D332="","",H332-I332)</f>
        <v/>
      </c>
      <c r="K332" s="7" t="str">
        <f aca="false">IF(A332="","",MONTH(A332))</f>
        <v/>
      </c>
      <c r="L332" s="7" t="str">
        <f aca="false">IF(A332="","",YEAR(A332))</f>
        <v/>
      </c>
      <c r="M332" s="9" t="str">
        <f aca="false">IF(B332="","",B332&amp;"|"&amp;COUNTIF(B$2:B332,B332))</f>
        <v/>
      </c>
    </row>
    <row r="333" customFormat="false" ht="15" hidden="false" customHeight="false" outlineLevel="0" collapsed="false">
      <c r="A333" s="5"/>
      <c r="B333" s="6"/>
      <c r="C333" s="6"/>
      <c r="D333" s="6"/>
      <c r="E333" s="7" t="str">
        <f aca="false">IF(D333="","",IFERROR(INDEX(Товары!$B$2:$B$200,MATCH(D333,Товары!$A$2:$A$200,0)),"нет в справочнике"))</f>
        <v/>
      </c>
      <c r="F333" s="6"/>
      <c r="G333" s="8" t="str">
        <f aca="false">IF(D333="","",IFERROR(INDEX(Товары!$C$2:$C$200,MATCH(D333,Товары!$A$2:$A$200,0)),0))</f>
        <v/>
      </c>
      <c r="H333" s="8" t="str">
        <f aca="false">IF(D333="","",F333*G333)</f>
        <v/>
      </c>
      <c r="I333" s="8" t="str">
        <f aca="false">IF(D333="","",F333*IFERROR(INDEX(Товары!$D$2:$D$200,MATCH(D333,Товары!$A$2:$A$200,0)),0))</f>
        <v/>
      </c>
      <c r="J333" s="8" t="str">
        <f aca="false">IF(D333="","",H333-I333)</f>
        <v/>
      </c>
      <c r="K333" s="7" t="str">
        <f aca="false">IF(A333="","",MONTH(A333))</f>
        <v/>
      </c>
      <c r="L333" s="7" t="str">
        <f aca="false">IF(A333="","",YEAR(A333))</f>
        <v/>
      </c>
      <c r="M333" s="9" t="str">
        <f aca="false">IF(B333="","",B333&amp;"|"&amp;COUNTIF(B$2:B333,B333))</f>
        <v/>
      </c>
    </row>
    <row r="334" customFormat="false" ht="15" hidden="false" customHeight="false" outlineLevel="0" collapsed="false">
      <c r="A334" s="5"/>
      <c r="B334" s="6"/>
      <c r="C334" s="6"/>
      <c r="D334" s="6"/>
      <c r="E334" s="7" t="str">
        <f aca="false">IF(D334="","",IFERROR(INDEX(Товары!$B$2:$B$200,MATCH(D334,Товары!$A$2:$A$200,0)),"нет в справочнике"))</f>
        <v/>
      </c>
      <c r="F334" s="6"/>
      <c r="G334" s="8" t="str">
        <f aca="false">IF(D334="","",IFERROR(INDEX(Товары!$C$2:$C$200,MATCH(D334,Товары!$A$2:$A$200,0)),0))</f>
        <v/>
      </c>
      <c r="H334" s="8" t="str">
        <f aca="false">IF(D334="","",F334*G334)</f>
        <v/>
      </c>
      <c r="I334" s="8" t="str">
        <f aca="false">IF(D334="","",F334*IFERROR(INDEX(Товары!$D$2:$D$200,MATCH(D334,Товары!$A$2:$A$200,0)),0))</f>
        <v/>
      </c>
      <c r="J334" s="8" t="str">
        <f aca="false">IF(D334="","",H334-I334)</f>
        <v/>
      </c>
      <c r="K334" s="7" t="str">
        <f aca="false">IF(A334="","",MONTH(A334))</f>
        <v/>
      </c>
      <c r="L334" s="7" t="str">
        <f aca="false">IF(A334="","",YEAR(A334))</f>
        <v/>
      </c>
      <c r="M334" s="9" t="str">
        <f aca="false">IF(B334="","",B334&amp;"|"&amp;COUNTIF(B$2:B334,B334))</f>
        <v/>
      </c>
    </row>
    <row r="335" customFormat="false" ht="15" hidden="false" customHeight="false" outlineLevel="0" collapsed="false">
      <c r="A335" s="5"/>
      <c r="B335" s="6"/>
      <c r="C335" s="6"/>
      <c r="D335" s="6"/>
      <c r="E335" s="7" t="str">
        <f aca="false">IF(D335="","",IFERROR(INDEX(Товары!$B$2:$B$200,MATCH(D335,Товары!$A$2:$A$200,0)),"нет в справочнике"))</f>
        <v/>
      </c>
      <c r="F335" s="6"/>
      <c r="G335" s="8" t="str">
        <f aca="false">IF(D335="","",IFERROR(INDEX(Товары!$C$2:$C$200,MATCH(D335,Товары!$A$2:$A$200,0)),0))</f>
        <v/>
      </c>
      <c r="H335" s="8" t="str">
        <f aca="false">IF(D335="","",F335*G335)</f>
        <v/>
      </c>
      <c r="I335" s="8" t="str">
        <f aca="false">IF(D335="","",F335*IFERROR(INDEX(Товары!$D$2:$D$200,MATCH(D335,Товары!$A$2:$A$200,0)),0))</f>
        <v/>
      </c>
      <c r="J335" s="8" t="str">
        <f aca="false">IF(D335="","",H335-I335)</f>
        <v/>
      </c>
      <c r="K335" s="7" t="str">
        <f aca="false">IF(A335="","",MONTH(A335))</f>
        <v/>
      </c>
      <c r="L335" s="7" t="str">
        <f aca="false">IF(A335="","",YEAR(A335))</f>
        <v/>
      </c>
      <c r="M335" s="9" t="str">
        <f aca="false">IF(B335="","",B335&amp;"|"&amp;COUNTIF(B$2:B335,B335))</f>
        <v/>
      </c>
    </row>
    <row r="336" customFormat="false" ht="15" hidden="false" customHeight="false" outlineLevel="0" collapsed="false">
      <c r="A336" s="5"/>
      <c r="B336" s="6"/>
      <c r="C336" s="6"/>
      <c r="D336" s="6"/>
      <c r="E336" s="7" t="str">
        <f aca="false">IF(D336="","",IFERROR(INDEX(Товары!$B$2:$B$200,MATCH(D336,Товары!$A$2:$A$200,0)),"нет в справочнике"))</f>
        <v/>
      </c>
      <c r="F336" s="6"/>
      <c r="G336" s="8" t="str">
        <f aca="false">IF(D336="","",IFERROR(INDEX(Товары!$C$2:$C$200,MATCH(D336,Товары!$A$2:$A$200,0)),0))</f>
        <v/>
      </c>
      <c r="H336" s="8" t="str">
        <f aca="false">IF(D336="","",F336*G336)</f>
        <v/>
      </c>
      <c r="I336" s="8" t="str">
        <f aca="false">IF(D336="","",F336*IFERROR(INDEX(Товары!$D$2:$D$200,MATCH(D336,Товары!$A$2:$A$200,0)),0))</f>
        <v/>
      </c>
      <c r="J336" s="8" t="str">
        <f aca="false">IF(D336="","",H336-I336)</f>
        <v/>
      </c>
      <c r="K336" s="7" t="str">
        <f aca="false">IF(A336="","",MONTH(A336))</f>
        <v/>
      </c>
      <c r="L336" s="7" t="str">
        <f aca="false">IF(A336="","",YEAR(A336))</f>
        <v/>
      </c>
      <c r="M336" s="9" t="str">
        <f aca="false">IF(B336="","",B336&amp;"|"&amp;COUNTIF(B$2:B336,B336))</f>
        <v/>
      </c>
    </row>
    <row r="337" customFormat="false" ht="15" hidden="false" customHeight="false" outlineLevel="0" collapsed="false">
      <c r="A337" s="5"/>
      <c r="B337" s="6"/>
      <c r="C337" s="6"/>
      <c r="D337" s="6"/>
      <c r="E337" s="7" t="str">
        <f aca="false">IF(D337="","",IFERROR(INDEX(Товары!$B$2:$B$200,MATCH(D337,Товары!$A$2:$A$200,0)),"нет в справочнике"))</f>
        <v/>
      </c>
      <c r="F337" s="6"/>
      <c r="G337" s="8" t="str">
        <f aca="false">IF(D337="","",IFERROR(INDEX(Товары!$C$2:$C$200,MATCH(D337,Товары!$A$2:$A$200,0)),0))</f>
        <v/>
      </c>
      <c r="H337" s="8" t="str">
        <f aca="false">IF(D337="","",F337*G337)</f>
        <v/>
      </c>
      <c r="I337" s="8" t="str">
        <f aca="false">IF(D337="","",F337*IFERROR(INDEX(Товары!$D$2:$D$200,MATCH(D337,Товары!$A$2:$A$200,0)),0))</f>
        <v/>
      </c>
      <c r="J337" s="8" t="str">
        <f aca="false">IF(D337="","",H337-I337)</f>
        <v/>
      </c>
      <c r="K337" s="7" t="str">
        <f aca="false">IF(A337="","",MONTH(A337))</f>
        <v/>
      </c>
      <c r="L337" s="7" t="str">
        <f aca="false">IF(A337="","",YEAR(A337))</f>
        <v/>
      </c>
      <c r="M337" s="9" t="str">
        <f aca="false">IF(B337="","",B337&amp;"|"&amp;COUNTIF(B$2:B337,B337))</f>
        <v/>
      </c>
    </row>
    <row r="338" customFormat="false" ht="15" hidden="false" customHeight="false" outlineLevel="0" collapsed="false">
      <c r="A338" s="5"/>
      <c r="B338" s="6"/>
      <c r="C338" s="6"/>
      <c r="D338" s="6"/>
      <c r="E338" s="7" t="str">
        <f aca="false">IF(D338="","",IFERROR(INDEX(Товары!$B$2:$B$200,MATCH(D338,Товары!$A$2:$A$200,0)),"нет в справочнике"))</f>
        <v/>
      </c>
      <c r="F338" s="6"/>
      <c r="G338" s="8" t="str">
        <f aca="false">IF(D338="","",IFERROR(INDEX(Товары!$C$2:$C$200,MATCH(D338,Товары!$A$2:$A$200,0)),0))</f>
        <v/>
      </c>
      <c r="H338" s="8" t="str">
        <f aca="false">IF(D338="","",F338*G338)</f>
        <v/>
      </c>
      <c r="I338" s="8" t="str">
        <f aca="false">IF(D338="","",F338*IFERROR(INDEX(Товары!$D$2:$D$200,MATCH(D338,Товары!$A$2:$A$200,0)),0))</f>
        <v/>
      </c>
      <c r="J338" s="8" t="str">
        <f aca="false">IF(D338="","",H338-I338)</f>
        <v/>
      </c>
      <c r="K338" s="7" t="str">
        <f aca="false">IF(A338="","",MONTH(A338))</f>
        <v/>
      </c>
      <c r="L338" s="7" t="str">
        <f aca="false">IF(A338="","",YEAR(A338))</f>
        <v/>
      </c>
      <c r="M338" s="9" t="str">
        <f aca="false">IF(B338="","",B338&amp;"|"&amp;COUNTIF(B$2:B338,B338))</f>
        <v/>
      </c>
    </row>
    <row r="339" customFormat="false" ht="15" hidden="false" customHeight="false" outlineLevel="0" collapsed="false">
      <c r="A339" s="5"/>
      <c r="B339" s="6"/>
      <c r="C339" s="6"/>
      <c r="D339" s="6"/>
      <c r="E339" s="7" t="str">
        <f aca="false">IF(D339="","",IFERROR(INDEX(Товары!$B$2:$B$200,MATCH(D339,Товары!$A$2:$A$200,0)),"нет в справочнике"))</f>
        <v/>
      </c>
      <c r="F339" s="6"/>
      <c r="G339" s="8" t="str">
        <f aca="false">IF(D339="","",IFERROR(INDEX(Товары!$C$2:$C$200,MATCH(D339,Товары!$A$2:$A$200,0)),0))</f>
        <v/>
      </c>
      <c r="H339" s="8" t="str">
        <f aca="false">IF(D339="","",F339*G339)</f>
        <v/>
      </c>
      <c r="I339" s="8" t="str">
        <f aca="false">IF(D339="","",F339*IFERROR(INDEX(Товары!$D$2:$D$200,MATCH(D339,Товары!$A$2:$A$200,0)),0))</f>
        <v/>
      </c>
      <c r="J339" s="8" t="str">
        <f aca="false">IF(D339="","",H339-I339)</f>
        <v/>
      </c>
      <c r="K339" s="7" t="str">
        <f aca="false">IF(A339="","",MONTH(A339))</f>
        <v/>
      </c>
      <c r="L339" s="7" t="str">
        <f aca="false">IF(A339="","",YEAR(A339))</f>
        <v/>
      </c>
      <c r="M339" s="9" t="str">
        <f aca="false">IF(B339="","",B339&amp;"|"&amp;COUNTIF(B$2:B339,B339))</f>
        <v/>
      </c>
    </row>
    <row r="340" customFormat="false" ht="15" hidden="false" customHeight="false" outlineLevel="0" collapsed="false">
      <c r="A340" s="5"/>
      <c r="B340" s="6"/>
      <c r="C340" s="6"/>
      <c r="D340" s="6"/>
      <c r="E340" s="7" t="str">
        <f aca="false">IF(D340="","",IFERROR(INDEX(Товары!$B$2:$B$200,MATCH(D340,Товары!$A$2:$A$200,0)),"нет в справочнике"))</f>
        <v/>
      </c>
      <c r="F340" s="6"/>
      <c r="G340" s="8" t="str">
        <f aca="false">IF(D340="","",IFERROR(INDEX(Товары!$C$2:$C$200,MATCH(D340,Товары!$A$2:$A$200,0)),0))</f>
        <v/>
      </c>
      <c r="H340" s="8" t="str">
        <f aca="false">IF(D340="","",F340*G340)</f>
        <v/>
      </c>
      <c r="I340" s="8" t="str">
        <f aca="false">IF(D340="","",F340*IFERROR(INDEX(Товары!$D$2:$D$200,MATCH(D340,Товары!$A$2:$A$200,0)),0))</f>
        <v/>
      </c>
      <c r="J340" s="8" t="str">
        <f aca="false">IF(D340="","",H340-I340)</f>
        <v/>
      </c>
      <c r="K340" s="7" t="str">
        <f aca="false">IF(A340="","",MONTH(A340))</f>
        <v/>
      </c>
      <c r="L340" s="7" t="str">
        <f aca="false">IF(A340="","",YEAR(A340))</f>
        <v/>
      </c>
      <c r="M340" s="9" t="str">
        <f aca="false">IF(B340="","",B340&amp;"|"&amp;COUNTIF(B$2:B340,B340))</f>
        <v/>
      </c>
    </row>
    <row r="341" customFormat="false" ht="15" hidden="false" customHeight="false" outlineLevel="0" collapsed="false">
      <c r="A341" s="5"/>
      <c r="B341" s="6"/>
      <c r="C341" s="6"/>
      <c r="D341" s="6"/>
      <c r="E341" s="7" t="str">
        <f aca="false">IF(D341="","",IFERROR(INDEX(Товары!$B$2:$B$200,MATCH(D341,Товары!$A$2:$A$200,0)),"нет в справочнике"))</f>
        <v/>
      </c>
      <c r="F341" s="6"/>
      <c r="G341" s="8" t="str">
        <f aca="false">IF(D341="","",IFERROR(INDEX(Товары!$C$2:$C$200,MATCH(D341,Товары!$A$2:$A$200,0)),0))</f>
        <v/>
      </c>
      <c r="H341" s="8" t="str">
        <f aca="false">IF(D341="","",F341*G341)</f>
        <v/>
      </c>
      <c r="I341" s="8" t="str">
        <f aca="false">IF(D341="","",F341*IFERROR(INDEX(Товары!$D$2:$D$200,MATCH(D341,Товары!$A$2:$A$200,0)),0))</f>
        <v/>
      </c>
      <c r="J341" s="8" t="str">
        <f aca="false">IF(D341="","",H341-I341)</f>
        <v/>
      </c>
      <c r="K341" s="7" t="str">
        <f aca="false">IF(A341="","",MONTH(A341))</f>
        <v/>
      </c>
      <c r="L341" s="7" t="str">
        <f aca="false">IF(A341="","",YEAR(A341))</f>
        <v/>
      </c>
      <c r="M341" s="9" t="str">
        <f aca="false">IF(B341="","",B341&amp;"|"&amp;COUNTIF(B$2:B341,B341))</f>
        <v/>
      </c>
    </row>
    <row r="342" customFormat="false" ht="15" hidden="false" customHeight="false" outlineLevel="0" collapsed="false">
      <c r="A342" s="5"/>
      <c r="B342" s="6"/>
      <c r="C342" s="6"/>
      <c r="D342" s="6"/>
      <c r="E342" s="7" t="str">
        <f aca="false">IF(D342="","",IFERROR(INDEX(Товары!$B$2:$B$200,MATCH(D342,Товары!$A$2:$A$200,0)),"нет в справочнике"))</f>
        <v/>
      </c>
      <c r="F342" s="6"/>
      <c r="G342" s="8" t="str">
        <f aca="false">IF(D342="","",IFERROR(INDEX(Товары!$C$2:$C$200,MATCH(D342,Товары!$A$2:$A$200,0)),0))</f>
        <v/>
      </c>
      <c r="H342" s="8" t="str">
        <f aca="false">IF(D342="","",F342*G342)</f>
        <v/>
      </c>
      <c r="I342" s="8" t="str">
        <f aca="false">IF(D342="","",F342*IFERROR(INDEX(Товары!$D$2:$D$200,MATCH(D342,Товары!$A$2:$A$200,0)),0))</f>
        <v/>
      </c>
      <c r="J342" s="8" t="str">
        <f aca="false">IF(D342="","",H342-I342)</f>
        <v/>
      </c>
      <c r="K342" s="7" t="str">
        <f aca="false">IF(A342="","",MONTH(A342))</f>
        <v/>
      </c>
      <c r="L342" s="7" t="str">
        <f aca="false">IF(A342="","",YEAR(A342))</f>
        <v/>
      </c>
      <c r="M342" s="9" t="str">
        <f aca="false">IF(B342="","",B342&amp;"|"&amp;COUNTIF(B$2:B342,B342))</f>
        <v/>
      </c>
    </row>
    <row r="343" customFormat="false" ht="15" hidden="false" customHeight="false" outlineLevel="0" collapsed="false">
      <c r="A343" s="5"/>
      <c r="B343" s="6"/>
      <c r="C343" s="6"/>
      <c r="D343" s="6"/>
      <c r="E343" s="7" t="str">
        <f aca="false">IF(D343="","",IFERROR(INDEX(Товары!$B$2:$B$200,MATCH(D343,Товары!$A$2:$A$200,0)),"нет в справочнике"))</f>
        <v/>
      </c>
      <c r="F343" s="6"/>
      <c r="G343" s="8" t="str">
        <f aca="false">IF(D343="","",IFERROR(INDEX(Товары!$C$2:$C$200,MATCH(D343,Товары!$A$2:$A$200,0)),0))</f>
        <v/>
      </c>
      <c r="H343" s="8" t="str">
        <f aca="false">IF(D343="","",F343*G343)</f>
        <v/>
      </c>
      <c r="I343" s="8" t="str">
        <f aca="false">IF(D343="","",F343*IFERROR(INDEX(Товары!$D$2:$D$200,MATCH(D343,Товары!$A$2:$A$200,0)),0))</f>
        <v/>
      </c>
      <c r="J343" s="8" t="str">
        <f aca="false">IF(D343="","",H343-I343)</f>
        <v/>
      </c>
      <c r="K343" s="7" t="str">
        <f aca="false">IF(A343="","",MONTH(A343))</f>
        <v/>
      </c>
      <c r="L343" s="7" t="str">
        <f aca="false">IF(A343="","",YEAR(A343))</f>
        <v/>
      </c>
      <c r="M343" s="9" t="str">
        <f aca="false">IF(B343="","",B343&amp;"|"&amp;COUNTIF(B$2:B343,B343))</f>
        <v/>
      </c>
    </row>
    <row r="344" customFormat="false" ht="15" hidden="false" customHeight="false" outlineLevel="0" collapsed="false">
      <c r="A344" s="5"/>
      <c r="B344" s="6"/>
      <c r="C344" s="6"/>
      <c r="D344" s="6"/>
      <c r="E344" s="7" t="str">
        <f aca="false">IF(D344="","",IFERROR(INDEX(Товары!$B$2:$B$200,MATCH(D344,Товары!$A$2:$A$200,0)),"нет в справочнике"))</f>
        <v/>
      </c>
      <c r="F344" s="6"/>
      <c r="G344" s="8" t="str">
        <f aca="false">IF(D344="","",IFERROR(INDEX(Товары!$C$2:$C$200,MATCH(D344,Товары!$A$2:$A$200,0)),0))</f>
        <v/>
      </c>
      <c r="H344" s="8" t="str">
        <f aca="false">IF(D344="","",F344*G344)</f>
        <v/>
      </c>
      <c r="I344" s="8" t="str">
        <f aca="false">IF(D344="","",F344*IFERROR(INDEX(Товары!$D$2:$D$200,MATCH(D344,Товары!$A$2:$A$200,0)),0))</f>
        <v/>
      </c>
      <c r="J344" s="8" t="str">
        <f aca="false">IF(D344="","",H344-I344)</f>
        <v/>
      </c>
      <c r="K344" s="7" t="str">
        <f aca="false">IF(A344="","",MONTH(A344))</f>
        <v/>
      </c>
      <c r="L344" s="7" t="str">
        <f aca="false">IF(A344="","",YEAR(A344))</f>
        <v/>
      </c>
      <c r="M344" s="9" t="str">
        <f aca="false">IF(B344="","",B344&amp;"|"&amp;COUNTIF(B$2:B344,B344))</f>
        <v/>
      </c>
    </row>
    <row r="345" customFormat="false" ht="15" hidden="false" customHeight="false" outlineLevel="0" collapsed="false">
      <c r="A345" s="5"/>
      <c r="B345" s="6"/>
      <c r="C345" s="6"/>
      <c r="D345" s="6"/>
      <c r="E345" s="7" t="str">
        <f aca="false">IF(D345="","",IFERROR(INDEX(Товары!$B$2:$B$200,MATCH(D345,Товары!$A$2:$A$200,0)),"нет в справочнике"))</f>
        <v/>
      </c>
      <c r="F345" s="6"/>
      <c r="G345" s="8" t="str">
        <f aca="false">IF(D345="","",IFERROR(INDEX(Товары!$C$2:$C$200,MATCH(D345,Товары!$A$2:$A$200,0)),0))</f>
        <v/>
      </c>
      <c r="H345" s="8" t="str">
        <f aca="false">IF(D345="","",F345*G345)</f>
        <v/>
      </c>
      <c r="I345" s="8" t="str">
        <f aca="false">IF(D345="","",F345*IFERROR(INDEX(Товары!$D$2:$D$200,MATCH(D345,Товары!$A$2:$A$200,0)),0))</f>
        <v/>
      </c>
      <c r="J345" s="8" t="str">
        <f aca="false">IF(D345="","",H345-I345)</f>
        <v/>
      </c>
      <c r="K345" s="7" t="str">
        <f aca="false">IF(A345="","",MONTH(A345))</f>
        <v/>
      </c>
      <c r="L345" s="7" t="str">
        <f aca="false">IF(A345="","",YEAR(A345))</f>
        <v/>
      </c>
      <c r="M345" s="9" t="str">
        <f aca="false">IF(B345="","",B345&amp;"|"&amp;COUNTIF(B$2:B345,B345))</f>
        <v/>
      </c>
    </row>
    <row r="346" customFormat="false" ht="15" hidden="false" customHeight="false" outlineLevel="0" collapsed="false">
      <c r="A346" s="5"/>
      <c r="B346" s="6"/>
      <c r="C346" s="6"/>
      <c r="D346" s="6"/>
      <c r="E346" s="7" t="str">
        <f aca="false">IF(D346="","",IFERROR(INDEX(Товары!$B$2:$B$200,MATCH(D346,Товары!$A$2:$A$200,0)),"нет в справочнике"))</f>
        <v/>
      </c>
      <c r="F346" s="6"/>
      <c r="G346" s="8" t="str">
        <f aca="false">IF(D346="","",IFERROR(INDEX(Товары!$C$2:$C$200,MATCH(D346,Товары!$A$2:$A$200,0)),0))</f>
        <v/>
      </c>
      <c r="H346" s="8" t="str">
        <f aca="false">IF(D346="","",F346*G346)</f>
        <v/>
      </c>
      <c r="I346" s="8" t="str">
        <f aca="false">IF(D346="","",F346*IFERROR(INDEX(Товары!$D$2:$D$200,MATCH(D346,Товары!$A$2:$A$200,0)),0))</f>
        <v/>
      </c>
      <c r="J346" s="8" t="str">
        <f aca="false">IF(D346="","",H346-I346)</f>
        <v/>
      </c>
      <c r="K346" s="7" t="str">
        <f aca="false">IF(A346="","",MONTH(A346))</f>
        <v/>
      </c>
      <c r="L346" s="7" t="str">
        <f aca="false">IF(A346="","",YEAR(A346))</f>
        <v/>
      </c>
      <c r="M346" s="9" t="str">
        <f aca="false">IF(B346="","",B346&amp;"|"&amp;COUNTIF(B$2:B346,B346))</f>
        <v/>
      </c>
    </row>
    <row r="347" customFormat="false" ht="15" hidden="false" customHeight="false" outlineLevel="0" collapsed="false">
      <c r="A347" s="5"/>
      <c r="B347" s="6"/>
      <c r="C347" s="6"/>
      <c r="D347" s="6"/>
      <c r="E347" s="7" t="str">
        <f aca="false">IF(D347="","",IFERROR(INDEX(Товары!$B$2:$B$200,MATCH(D347,Товары!$A$2:$A$200,0)),"нет в справочнике"))</f>
        <v/>
      </c>
      <c r="F347" s="6"/>
      <c r="G347" s="8" t="str">
        <f aca="false">IF(D347="","",IFERROR(INDEX(Товары!$C$2:$C$200,MATCH(D347,Товары!$A$2:$A$200,0)),0))</f>
        <v/>
      </c>
      <c r="H347" s="8" t="str">
        <f aca="false">IF(D347="","",F347*G347)</f>
        <v/>
      </c>
      <c r="I347" s="8" t="str">
        <f aca="false">IF(D347="","",F347*IFERROR(INDEX(Товары!$D$2:$D$200,MATCH(D347,Товары!$A$2:$A$200,0)),0))</f>
        <v/>
      </c>
      <c r="J347" s="8" t="str">
        <f aca="false">IF(D347="","",H347-I347)</f>
        <v/>
      </c>
      <c r="K347" s="7" t="str">
        <f aca="false">IF(A347="","",MONTH(A347))</f>
        <v/>
      </c>
      <c r="L347" s="7" t="str">
        <f aca="false">IF(A347="","",YEAR(A347))</f>
        <v/>
      </c>
      <c r="M347" s="9" t="str">
        <f aca="false">IF(B347="","",B347&amp;"|"&amp;COUNTIF(B$2:B347,B347))</f>
        <v/>
      </c>
    </row>
    <row r="348" customFormat="false" ht="15" hidden="false" customHeight="false" outlineLevel="0" collapsed="false">
      <c r="A348" s="5"/>
      <c r="B348" s="6"/>
      <c r="C348" s="6"/>
      <c r="D348" s="6"/>
      <c r="E348" s="7" t="str">
        <f aca="false">IF(D348="","",IFERROR(INDEX(Товары!$B$2:$B$200,MATCH(D348,Товары!$A$2:$A$200,0)),"нет в справочнике"))</f>
        <v/>
      </c>
      <c r="F348" s="6"/>
      <c r="G348" s="8" t="str">
        <f aca="false">IF(D348="","",IFERROR(INDEX(Товары!$C$2:$C$200,MATCH(D348,Товары!$A$2:$A$200,0)),0))</f>
        <v/>
      </c>
      <c r="H348" s="8" t="str">
        <f aca="false">IF(D348="","",F348*G348)</f>
        <v/>
      </c>
      <c r="I348" s="8" t="str">
        <f aca="false">IF(D348="","",F348*IFERROR(INDEX(Товары!$D$2:$D$200,MATCH(D348,Товары!$A$2:$A$200,0)),0))</f>
        <v/>
      </c>
      <c r="J348" s="8" t="str">
        <f aca="false">IF(D348="","",H348-I348)</f>
        <v/>
      </c>
      <c r="K348" s="7" t="str">
        <f aca="false">IF(A348="","",MONTH(A348))</f>
        <v/>
      </c>
      <c r="L348" s="7" t="str">
        <f aca="false">IF(A348="","",YEAR(A348))</f>
        <v/>
      </c>
      <c r="M348" s="9" t="str">
        <f aca="false">IF(B348="","",B348&amp;"|"&amp;COUNTIF(B$2:B348,B348))</f>
        <v/>
      </c>
    </row>
    <row r="349" customFormat="false" ht="15" hidden="false" customHeight="false" outlineLevel="0" collapsed="false">
      <c r="A349" s="5"/>
      <c r="B349" s="6"/>
      <c r="C349" s="6"/>
      <c r="D349" s="6"/>
      <c r="E349" s="7" t="str">
        <f aca="false">IF(D349="","",IFERROR(INDEX(Товары!$B$2:$B$200,MATCH(D349,Товары!$A$2:$A$200,0)),"нет в справочнике"))</f>
        <v/>
      </c>
      <c r="F349" s="6"/>
      <c r="G349" s="8" t="str">
        <f aca="false">IF(D349="","",IFERROR(INDEX(Товары!$C$2:$C$200,MATCH(D349,Товары!$A$2:$A$200,0)),0))</f>
        <v/>
      </c>
      <c r="H349" s="8" t="str">
        <f aca="false">IF(D349="","",F349*G349)</f>
        <v/>
      </c>
      <c r="I349" s="8" t="str">
        <f aca="false">IF(D349="","",F349*IFERROR(INDEX(Товары!$D$2:$D$200,MATCH(D349,Товары!$A$2:$A$200,0)),0))</f>
        <v/>
      </c>
      <c r="J349" s="8" t="str">
        <f aca="false">IF(D349="","",H349-I349)</f>
        <v/>
      </c>
      <c r="K349" s="7" t="str">
        <f aca="false">IF(A349="","",MONTH(A349))</f>
        <v/>
      </c>
      <c r="L349" s="7" t="str">
        <f aca="false">IF(A349="","",YEAR(A349))</f>
        <v/>
      </c>
      <c r="M349" s="9" t="str">
        <f aca="false">IF(B349="","",B349&amp;"|"&amp;COUNTIF(B$2:B349,B349))</f>
        <v/>
      </c>
    </row>
    <row r="350" customFormat="false" ht="15" hidden="false" customHeight="false" outlineLevel="0" collapsed="false">
      <c r="A350" s="5"/>
      <c r="B350" s="6"/>
      <c r="C350" s="6"/>
      <c r="D350" s="6"/>
      <c r="E350" s="7" t="str">
        <f aca="false">IF(D350="","",IFERROR(INDEX(Товары!$B$2:$B$200,MATCH(D350,Товары!$A$2:$A$200,0)),"нет в справочнике"))</f>
        <v/>
      </c>
      <c r="F350" s="6"/>
      <c r="G350" s="8" t="str">
        <f aca="false">IF(D350="","",IFERROR(INDEX(Товары!$C$2:$C$200,MATCH(D350,Товары!$A$2:$A$200,0)),0))</f>
        <v/>
      </c>
      <c r="H350" s="8" t="str">
        <f aca="false">IF(D350="","",F350*G350)</f>
        <v/>
      </c>
      <c r="I350" s="8" t="str">
        <f aca="false">IF(D350="","",F350*IFERROR(INDEX(Товары!$D$2:$D$200,MATCH(D350,Товары!$A$2:$A$200,0)),0))</f>
        <v/>
      </c>
      <c r="J350" s="8" t="str">
        <f aca="false">IF(D350="","",H350-I350)</f>
        <v/>
      </c>
      <c r="K350" s="7" t="str">
        <f aca="false">IF(A350="","",MONTH(A350))</f>
        <v/>
      </c>
      <c r="L350" s="7" t="str">
        <f aca="false">IF(A350="","",YEAR(A350))</f>
        <v/>
      </c>
      <c r="M350" s="9" t="str">
        <f aca="false">IF(B350="","",B350&amp;"|"&amp;COUNTIF(B$2:B350,B350))</f>
        <v/>
      </c>
    </row>
    <row r="351" customFormat="false" ht="15" hidden="false" customHeight="false" outlineLevel="0" collapsed="false">
      <c r="A351" s="5"/>
      <c r="B351" s="6"/>
      <c r="C351" s="6"/>
      <c r="D351" s="6"/>
      <c r="E351" s="7" t="str">
        <f aca="false">IF(D351="","",IFERROR(INDEX(Товары!$B$2:$B$200,MATCH(D351,Товары!$A$2:$A$200,0)),"нет в справочнике"))</f>
        <v/>
      </c>
      <c r="F351" s="6"/>
      <c r="G351" s="8" t="str">
        <f aca="false">IF(D351="","",IFERROR(INDEX(Товары!$C$2:$C$200,MATCH(D351,Товары!$A$2:$A$200,0)),0))</f>
        <v/>
      </c>
      <c r="H351" s="8" t="str">
        <f aca="false">IF(D351="","",F351*G351)</f>
        <v/>
      </c>
      <c r="I351" s="8" t="str">
        <f aca="false">IF(D351="","",F351*IFERROR(INDEX(Товары!$D$2:$D$200,MATCH(D351,Товары!$A$2:$A$200,0)),0))</f>
        <v/>
      </c>
      <c r="J351" s="8" t="str">
        <f aca="false">IF(D351="","",H351-I351)</f>
        <v/>
      </c>
      <c r="K351" s="7" t="str">
        <f aca="false">IF(A351="","",MONTH(A351))</f>
        <v/>
      </c>
      <c r="L351" s="7" t="str">
        <f aca="false">IF(A351="","",YEAR(A351))</f>
        <v/>
      </c>
      <c r="M351" s="9" t="str">
        <f aca="false">IF(B351="","",B351&amp;"|"&amp;COUNTIF(B$2:B351,B351))</f>
        <v/>
      </c>
    </row>
    <row r="352" customFormat="false" ht="15" hidden="false" customHeight="false" outlineLevel="0" collapsed="false">
      <c r="A352" s="5"/>
      <c r="B352" s="6"/>
      <c r="C352" s="6"/>
      <c r="D352" s="6"/>
      <c r="E352" s="7" t="str">
        <f aca="false">IF(D352="","",IFERROR(INDEX(Товары!$B$2:$B$200,MATCH(D352,Товары!$A$2:$A$200,0)),"нет в справочнике"))</f>
        <v/>
      </c>
      <c r="F352" s="6"/>
      <c r="G352" s="8" t="str">
        <f aca="false">IF(D352="","",IFERROR(INDEX(Товары!$C$2:$C$200,MATCH(D352,Товары!$A$2:$A$200,0)),0))</f>
        <v/>
      </c>
      <c r="H352" s="8" t="str">
        <f aca="false">IF(D352="","",F352*G352)</f>
        <v/>
      </c>
      <c r="I352" s="8" t="str">
        <f aca="false">IF(D352="","",F352*IFERROR(INDEX(Товары!$D$2:$D$200,MATCH(D352,Товары!$A$2:$A$200,0)),0))</f>
        <v/>
      </c>
      <c r="J352" s="8" t="str">
        <f aca="false">IF(D352="","",H352-I352)</f>
        <v/>
      </c>
      <c r="K352" s="7" t="str">
        <f aca="false">IF(A352="","",MONTH(A352))</f>
        <v/>
      </c>
      <c r="L352" s="7" t="str">
        <f aca="false">IF(A352="","",YEAR(A352))</f>
        <v/>
      </c>
      <c r="M352" s="9" t="str">
        <f aca="false">IF(B352="","",B352&amp;"|"&amp;COUNTIF(B$2:B352,B352))</f>
        <v/>
      </c>
    </row>
    <row r="353" customFormat="false" ht="15" hidden="false" customHeight="false" outlineLevel="0" collapsed="false">
      <c r="A353" s="5"/>
      <c r="B353" s="6"/>
      <c r="C353" s="6"/>
      <c r="D353" s="6"/>
      <c r="E353" s="7" t="str">
        <f aca="false">IF(D353="","",IFERROR(INDEX(Товары!$B$2:$B$200,MATCH(D353,Товары!$A$2:$A$200,0)),"нет в справочнике"))</f>
        <v/>
      </c>
      <c r="F353" s="6"/>
      <c r="G353" s="8" t="str">
        <f aca="false">IF(D353="","",IFERROR(INDEX(Товары!$C$2:$C$200,MATCH(D353,Товары!$A$2:$A$200,0)),0))</f>
        <v/>
      </c>
      <c r="H353" s="8" t="str">
        <f aca="false">IF(D353="","",F353*G353)</f>
        <v/>
      </c>
      <c r="I353" s="8" t="str">
        <f aca="false">IF(D353="","",F353*IFERROR(INDEX(Товары!$D$2:$D$200,MATCH(D353,Товары!$A$2:$A$200,0)),0))</f>
        <v/>
      </c>
      <c r="J353" s="8" t="str">
        <f aca="false">IF(D353="","",H353-I353)</f>
        <v/>
      </c>
      <c r="K353" s="7" t="str">
        <f aca="false">IF(A353="","",MONTH(A353))</f>
        <v/>
      </c>
      <c r="L353" s="7" t="str">
        <f aca="false">IF(A353="","",YEAR(A353))</f>
        <v/>
      </c>
      <c r="M353" s="9" t="str">
        <f aca="false">IF(B353="","",B353&amp;"|"&amp;COUNTIF(B$2:B353,B353))</f>
        <v/>
      </c>
    </row>
    <row r="354" customFormat="false" ht="15" hidden="false" customHeight="false" outlineLevel="0" collapsed="false">
      <c r="A354" s="5"/>
      <c r="B354" s="6"/>
      <c r="C354" s="6"/>
      <c r="D354" s="6"/>
      <c r="E354" s="7" t="str">
        <f aca="false">IF(D354="","",IFERROR(INDEX(Товары!$B$2:$B$200,MATCH(D354,Товары!$A$2:$A$200,0)),"нет в справочнике"))</f>
        <v/>
      </c>
      <c r="F354" s="6"/>
      <c r="G354" s="8" t="str">
        <f aca="false">IF(D354="","",IFERROR(INDEX(Товары!$C$2:$C$200,MATCH(D354,Товары!$A$2:$A$200,0)),0))</f>
        <v/>
      </c>
      <c r="H354" s="8" t="str">
        <f aca="false">IF(D354="","",F354*G354)</f>
        <v/>
      </c>
      <c r="I354" s="8" t="str">
        <f aca="false">IF(D354="","",F354*IFERROR(INDEX(Товары!$D$2:$D$200,MATCH(D354,Товары!$A$2:$A$200,0)),0))</f>
        <v/>
      </c>
      <c r="J354" s="8" t="str">
        <f aca="false">IF(D354="","",H354-I354)</f>
        <v/>
      </c>
      <c r="K354" s="7" t="str">
        <f aca="false">IF(A354="","",MONTH(A354))</f>
        <v/>
      </c>
      <c r="L354" s="7" t="str">
        <f aca="false">IF(A354="","",YEAR(A354))</f>
        <v/>
      </c>
      <c r="M354" s="9" t="str">
        <f aca="false">IF(B354="","",B354&amp;"|"&amp;COUNTIF(B$2:B354,B354))</f>
        <v/>
      </c>
    </row>
    <row r="355" customFormat="false" ht="15" hidden="false" customHeight="false" outlineLevel="0" collapsed="false">
      <c r="A355" s="5"/>
      <c r="B355" s="6"/>
      <c r="C355" s="6"/>
      <c r="D355" s="6"/>
      <c r="E355" s="7" t="str">
        <f aca="false">IF(D355="","",IFERROR(INDEX(Товары!$B$2:$B$200,MATCH(D355,Товары!$A$2:$A$200,0)),"нет в справочнике"))</f>
        <v/>
      </c>
      <c r="F355" s="6"/>
      <c r="G355" s="8" t="str">
        <f aca="false">IF(D355="","",IFERROR(INDEX(Товары!$C$2:$C$200,MATCH(D355,Товары!$A$2:$A$200,0)),0))</f>
        <v/>
      </c>
      <c r="H355" s="8" t="str">
        <f aca="false">IF(D355="","",F355*G355)</f>
        <v/>
      </c>
      <c r="I355" s="8" t="str">
        <f aca="false">IF(D355="","",F355*IFERROR(INDEX(Товары!$D$2:$D$200,MATCH(D355,Товары!$A$2:$A$200,0)),0))</f>
        <v/>
      </c>
      <c r="J355" s="8" t="str">
        <f aca="false">IF(D355="","",H355-I355)</f>
        <v/>
      </c>
      <c r="K355" s="7" t="str">
        <f aca="false">IF(A355="","",MONTH(A355))</f>
        <v/>
      </c>
      <c r="L355" s="7" t="str">
        <f aca="false">IF(A355="","",YEAR(A355))</f>
        <v/>
      </c>
      <c r="M355" s="9" t="str">
        <f aca="false">IF(B355="","",B355&amp;"|"&amp;COUNTIF(B$2:B355,B355))</f>
        <v/>
      </c>
    </row>
    <row r="356" customFormat="false" ht="15" hidden="false" customHeight="false" outlineLevel="0" collapsed="false">
      <c r="A356" s="5"/>
      <c r="B356" s="6"/>
      <c r="C356" s="6"/>
      <c r="D356" s="6"/>
      <c r="E356" s="7" t="str">
        <f aca="false">IF(D356="","",IFERROR(INDEX(Товары!$B$2:$B$200,MATCH(D356,Товары!$A$2:$A$200,0)),"нет в справочнике"))</f>
        <v/>
      </c>
      <c r="F356" s="6"/>
      <c r="G356" s="8" t="str">
        <f aca="false">IF(D356="","",IFERROR(INDEX(Товары!$C$2:$C$200,MATCH(D356,Товары!$A$2:$A$200,0)),0))</f>
        <v/>
      </c>
      <c r="H356" s="8" t="str">
        <f aca="false">IF(D356="","",F356*G356)</f>
        <v/>
      </c>
      <c r="I356" s="8" t="str">
        <f aca="false">IF(D356="","",F356*IFERROR(INDEX(Товары!$D$2:$D$200,MATCH(D356,Товары!$A$2:$A$200,0)),0))</f>
        <v/>
      </c>
      <c r="J356" s="8" t="str">
        <f aca="false">IF(D356="","",H356-I356)</f>
        <v/>
      </c>
      <c r="K356" s="7" t="str">
        <f aca="false">IF(A356="","",MONTH(A356))</f>
        <v/>
      </c>
      <c r="L356" s="7" t="str">
        <f aca="false">IF(A356="","",YEAR(A356))</f>
        <v/>
      </c>
      <c r="M356" s="9" t="str">
        <f aca="false">IF(B356="","",B356&amp;"|"&amp;COUNTIF(B$2:B356,B356))</f>
        <v/>
      </c>
    </row>
    <row r="357" customFormat="false" ht="15" hidden="false" customHeight="false" outlineLevel="0" collapsed="false">
      <c r="A357" s="5"/>
      <c r="B357" s="6"/>
      <c r="C357" s="6"/>
      <c r="D357" s="6"/>
      <c r="E357" s="7" t="str">
        <f aca="false">IF(D357="","",IFERROR(INDEX(Товары!$B$2:$B$200,MATCH(D357,Товары!$A$2:$A$200,0)),"нет в справочнике"))</f>
        <v/>
      </c>
      <c r="F357" s="6"/>
      <c r="G357" s="8" t="str">
        <f aca="false">IF(D357="","",IFERROR(INDEX(Товары!$C$2:$C$200,MATCH(D357,Товары!$A$2:$A$200,0)),0))</f>
        <v/>
      </c>
      <c r="H357" s="8" t="str">
        <f aca="false">IF(D357="","",F357*G357)</f>
        <v/>
      </c>
      <c r="I357" s="8" t="str">
        <f aca="false">IF(D357="","",F357*IFERROR(INDEX(Товары!$D$2:$D$200,MATCH(D357,Товары!$A$2:$A$200,0)),0))</f>
        <v/>
      </c>
      <c r="J357" s="8" t="str">
        <f aca="false">IF(D357="","",H357-I357)</f>
        <v/>
      </c>
      <c r="K357" s="7" t="str">
        <f aca="false">IF(A357="","",MONTH(A357))</f>
        <v/>
      </c>
      <c r="L357" s="7" t="str">
        <f aca="false">IF(A357="","",YEAR(A357))</f>
        <v/>
      </c>
      <c r="M357" s="9" t="str">
        <f aca="false">IF(B357="","",B357&amp;"|"&amp;COUNTIF(B$2:B357,B357))</f>
        <v/>
      </c>
    </row>
    <row r="358" customFormat="false" ht="15" hidden="false" customHeight="false" outlineLevel="0" collapsed="false">
      <c r="A358" s="5"/>
      <c r="B358" s="6"/>
      <c r="C358" s="6"/>
      <c r="D358" s="6"/>
      <c r="E358" s="7" t="str">
        <f aca="false">IF(D358="","",IFERROR(INDEX(Товары!$B$2:$B$200,MATCH(D358,Товары!$A$2:$A$200,0)),"нет в справочнике"))</f>
        <v/>
      </c>
      <c r="F358" s="6"/>
      <c r="G358" s="8" t="str">
        <f aca="false">IF(D358="","",IFERROR(INDEX(Товары!$C$2:$C$200,MATCH(D358,Товары!$A$2:$A$200,0)),0))</f>
        <v/>
      </c>
      <c r="H358" s="8" t="str">
        <f aca="false">IF(D358="","",F358*G358)</f>
        <v/>
      </c>
      <c r="I358" s="8" t="str">
        <f aca="false">IF(D358="","",F358*IFERROR(INDEX(Товары!$D$2:$D$200,MATCH(D358,Товары!$A$2:$A$200,0)),0))</f>
        <v/>
      </c>
      <c r="J358" s="8" t="str">
        <f aca="false">IF(D358="","",H358-I358)</f>
        <v/>
      </c>
      <c r="K358" s="7" t="str">
        <f aca="false">IF(A358="","",MONTH(A358))</f>
        <v/>
      </c>
      <c r="L358" s="7" t="str">
        <f aca="false">IF(A358="","",YEAR(A358))</f>
        <v/>
      </c>
      <c r="M358" s="9" t="str">
        <f aca="false">IF(B358="","",B358&amp;"|"&amp;COUNTIF(B$2:B358,B358))</f>
        <v/>
      </c>
    </row>
    <row r="359" customFormat="false" ht="15" hidden="false" customHeight="false" outlineLevel="0" collapsed="false">
      <c r="A359" s="5"/>
      <c r="B359" s="6"/>
      <c r="C359" s="6"/>
      <c r="D359" s="6"/>
      <c r="E359" s="7" t="str">
        <f aca="false">IF(D359="","",IFERROR(INDEX(Товары!$B$2:$B$200,MATCH(D359,Товары!$A$2:$A$200,0)),"нет в справочнике"))</f>
        <v/>
      </c>
      <c r="F359" s="6"/>
      <c r="G359" s="8" t="str">
        <f aca="false">IF(D359="","",IFERROR(INDEX(Товары!$C$2:$C$200,MATCH(D359,Товары!$A$2:$A$200,0)),0))</f>
        <v/>
      </c>
      <c r="H359" s="8" t="str">
        <f aca="false">IF(D359="","",F359*G359)</f>
        <v/>
      </c>
      <c r="I359" s="8" t="str">
        <f aca="false">IF(D359="","",F359*IFERROR(INDEX(Товары!$D$2:$D$200,MATCH(D359,Товары!$A$2:$A$200,0)),0))</f>
        <v/>
      </c>
      <c r="J359" s="8" t="str">
        <f aca="false">IF(D359="","",H359-I359)</f>
        <v/>
      </c>
      <c r="K359" s="7" t="str">
        <f aca="false">IF(A359="","",MONTH(A359))</f>
        <v/>
      </c>
      <c r="L359" s="7" t="str">
        <f aca="false">IF(A359="","",YEAR(A359))</f>
        <v/>
      </c>
      <c r="M359" s="9" t="str">
        <f aca="false">IF(B359="","",B359&amp;"|"&amp;COUNTIF(B$2:B359,B359))</f>
        <v/>
      </c>
    </row>
    <row r="360" customFormat="false" ht="15" hidden="false" customHeight="false" outlineLevel="0" collapsed="false">
      <c r="A360" s="5"/>
      <c r="B360" s="6"/>
      <c r="C360" s="6"/>
      <c r="D360" s="6"/>
      <c r="E360" s="7" t="str">
        <f aca="false">IF(D360="","",IFERROR(INDEX(Товары!$B$2:$B$200,MATCH(D360,Товары!$A$2:$A$200,0)),"нет в справочнике"))</f>
        <v/>
      </c>
      <c r="F360" s="6"/>
      <c r="G360" s="8" t="str">
        <f aca="false">IF(D360="","",IFERROR(INDEX(Товары!$C$2:$C$200,MATCH(D360,Товары!$A$2:$A$200,0)),0))</f>
        <v/>
      </c>
      <c r="H360" s="8" t="str">
        <f aca="false">IF(D360="","",F360*G360)</f>
        <v/>
      </c>
      <c r="I360" s="8" t="str">
        <f aca="false">IF(D360="","",F360*IFERROR(INDEX(Товары!$D$2:$D$200,MATCH(D360,Товары!$A$2:$A$200,0)),0))</f>
        <v/>
      </c>
      <c r="J360" s="8" t="str">
        <f aca="false">IF(D360="","",H360-I360)</f>
        <v/>
      </c>
      <c r="K360" s="7" t="str">
        <f aca="false">IF(A360="","",MONTH(A360))</f>
        <v/>
      </c>
      <c r="L360" s="7" t="str">
        <f aca="false">IF(A360="","",YEAR(A360))</f>
        <v/>
      </c>
      <c r="M360" s="9" t="str">
        <f aca="false">IF(B360="","",B360&amp;"|"&amp;COUNTIF(B$2:B360,B360))</f>
        <v/>
      </c>
    </row>
    <row r="361" customFormat="false" ht="15" hidden="false" customHeight="false" outlineLevel="0" collapsed="false">
      <c r="A361" s="5"/>
      <c r="B361" s="6"/>
      <c r="C361" s="6"/>
      <c r="D361" s="6"/>
      <c r="E361" s="7" t="str">
        <f aca="false">IF(D361="","",IFERROR(INDEX(Товары!$B$2:$B$200,MATCH(D361,Товары!$A$2:$A$200,0)),"нет в справочнике"))</f>
        <v/>
      </c>
      <c r="F361" s="6"/>
      <c r="G361" s="8" t="str">
        <f aca="false">IF(D361="","",IFERROR(INDEX(Товары!$C$2:$C$200,MATCH(D361,Товары!$A$2:$A$200,0)),0))</f>
        <v/>
      </c>
      <c r="H361" s="8" t="str">
        <f aca="false">IF(D361="","",F361*G361)</f>
        <v/>
      </c>
      <c r="I361" s="8" t="str">
        <f aca="false">IF(D361="","",F361*IFERROR(INDEX(Товары!$D$2:$D$200,MATCH(D361,Товары!$A$2:$A$200,0)),0))</f>
        <v/>
      </c>
      <c r="J361" s="8" t="str">
        <f aca="false">IF(D361="","",H361-I361)</f>
        <v/>
      </c>
      <c r="K361" s="7" t="str">
        <f aca="false">IF(A361="","",MONTH(A361))</f>
        <v/>
      </c>
      <c r="L361" s="7" t="str">
        <f aca="false">IF(A361="","",YEAR(A361))</f>
        <v/>
      </c>
      <c r="M361" s="9" t="str">
        <f aca="false">IF(B361="","",B361&amp;"|"&amp;COUNTIF(B$2:B361,B361))</f>
        <v/>
      </c>
    </row>
    <row r="362" customFormat="false" ht="15" hidden="false" customHeight="false" outlineLevel="0" collapsed="false">
      <c r="A362" s="5"/>
      <c r="B362" s="6"/>
      <c r="C362" s="6"/>
      <c r="D362" s="6"/>
      <c r="E362" s="7" t="str">
        <f aca="false">IF(D362="","",IFERROR(INDEX(Товары!$B$2:$B$200,MATCH(D362,Товары!$A$2:$A$200,0)),"нет в справочнике"))</f>
        <v/>
      </c>
      <c r="F362" s="6"/>
      <c r="G362" s="8" t="str">
        <f aca="false">IF(D362="","",IFERROR(INDEX(Товары!$C$2:$C$200,MATCH(D362,Товары!$A$2:$A$200,0)),0))</f>
        <v/>
      </c>
      <c r="H362" s="8" t="str">
        <f aca="false">IF(D362="","",F362*G362)</f>
        <v/>
      </c>
      <c r="I362" s="8" t="str">
        <f aca="false">IF(D362="","",F362*IFERROR(INDEX(Товары!$D$2:$D$200,MATCH(D362,Товары!$A$2:$A$200,0)),0))</f>
        <v/>
      </c>
      <c r="J362" s="8" t="str">
        <f aca="false">IF(D362="","",H362-I362)</f>
        <v/>
      </c>
      <c r="K362" s="7" t="str">
        <f aca="false">IF(A362="","",MONTH(A362))</f>
        <v/>
      </c>
      <c r="L362" s="7" t="str">
        <f aca="false">IF(A362="","",YEAR(A362))</f>
        <v/>
      </c>
      <c r="M362" s="9" t="str">
        <f aca="false">IF(B362="","",B362&amp;"|"&amp;COUNTIF(B$2:B362,B362))</f>
        <v/>
      </c>
    </row>
    <row r="363" customFormat="false" ht="15" hidden="false" customHeight="false" outlineLevel="0" collapsed="false">
      <c r="A363" s="5"/>
      <c r="B363" s="6"/>
      <c r="C363" s="6"/>
      <c r="D363" s="6"/>
      <c r="E363" s="7" t="str">
        <f aca="false">IF(D363="","",IFERROR(INDEX(Товары!$B$2:$B$200,MATCH(D363,Товары!$A$2:$A$200,0)),"нет в справочнике"))</f>
        <v/>
      </c>
      <c r="F363" s="6"/>
      <c r="G363" s="8" t="str">
        <f aca="false">IF(D363="","",IFERROR(INDEX(Товары!$C$2:$C$200,MATCH(D363,Товары!$A$2:$A$200,0)),0))</f>
        <v/>
      </c>
      <c r="H363" s="8" t="str">
        <f aca="false">IF(D363="","",F363*G363)</f>
        <v/>
      </c>
      <c r="I363" s="8" t="str">
        <f aca="false">IF(D363="","",F363*IFERROR(INDEX(Товары!$D$2:$D$200,MATCH(D363,Товары!$A$2:$A$200,0)),0))</f>
        <v/>
      </c>
      <c r="J363" s="8" t="str">
        <f aca="false">IF(D363="","",H363-I363)</f>
        <v/>
      </c>
      <c r="K363" s="7" t="str">
        <f aca="false">IF(A363="","",MONTH(A363))</f>
        <v/>
      </c>
      <c r="L363" s="7" t="str">
        <f aca="false">IF(A363="","",YEAR(A363))</f>
        <v/>
      </c>
      <c r="M363" s="9" t="str">
        <f aca="false">IF(B363="","",B363&amp;"|"&amp;COUNTIF(B$2:B363,B363))</f>
        <v/>
      </c>
    </row>
    <row r="364" customFormat="false" ht="15" hidden="false" customHeight="false" outlineLevel="0" collapsed="false">
      <c r="A364" s="5"/>
      <c r="B364" s="6"/>
      <c r="C364" s="6"/>
      <c r="D364" s="6"/>
      <c r="E364" s="7" t="str">
        <f aca="false">IF(D364="","",IFERROR(INDEX(Товары!$B$2:$B$200,MATCH(D364,Товары!$A$2:$A$200,0)),"нет в справочнике"))</f>
        <v/>
      </c>
      <c r="F364" s="6"/>
      <c r="G364" s="8" t="str">
        <f aca="false">IF(D364="","",IFERROR(INDEX(Товары!$C$2:$C$200,MATCH(D364,Товары!$A$2:$A$200,0)),0))</f>
        <v/>
      </c>
      <c r="H364" s="8" t="str">
        <f aca="false">IF(D364="","",F364*G364)</f>
        <v/>
      </c>
      <c r="I364" s="8" t="str">
        <f aca="false">IF(D364="","",F364*IFERROR(INDEX(Товары!$D$2:$D$200,MATCH(D364,Товары!$A$2:$A$200,0)),0))</f>
        <v/>
      </c>
      <c r="J364" s="8" t="str">
        <f aca="false">IF(D364="","",H364-I364)</f>
        <v/>
      </c>
      <c r="K364" s="7" t="str">
        <f aca="false">IF(A364="","",MONTH(A364))</f>
        <v/>
      </c>
      <c r="L364" s="7" t="str">
        <f aca="false">IF(A364="","",YEAR(A364))</f>
        <v/>
      </c>
      <c r="M364" s="9" t="str">
        <f aca="false">IF(B364="","",B364&amp;"|"&amp;COUNTIF(B$2:B364,B364))</f>
        <v/>
      </c>
    </row>
    <row r="365" customFormat="false" ht="15" hidden="false" customHeight="false" outlineLevel="0" collapsed="false">
      <c r="A365" s="5"/>
      <c r="B365" s="6"/>
      <c r="C365" s="6"/>
      <c r="D365" s="6"/>
      <c r="E365" s="7" t="str">
        <f aca="false">IF(D365="","",IFERROR(INDEX(Товары!$B$2:$B$200,MATCH(D365,Товары!$A$2:$A$200,0)),"нет в справочнике"))</f>
        <v/>
      </c>
      <c r="F365" s="6"/>
      <c r="G365" s="8" t="str">
        <f aca="false">IF(D365="","",IFERROR(INDEX(Товары!$C$2:$C$200,MATCH(D365,Товары!$A$2:$A$200,0)),0))</f>
        <v/>
      </c>
      <c r="H365" s="8" t="str">
        <f aca="false">IF(D365="","",F365*G365)</f>
        <v/>
      </c>
      <c r="I365" s="8" t="str">
        <f aca="false">IF(D365="","",F365*IFERROR(INDEX(Товары!$D$2:$D$200,MATCH(D365,Товары!$A$2:$A$200,0)),0))</f>
        <v/>
      </c>
      <c r="J365" s="8" t="str">
        <f aca="false">IF(D365="","",H365-I365)</f>
        <v/>
      </c>
      <c r="K365" s="7" t="str">
        <f aca="false">IF(A365="","",MONTH(A365))</f>
        <v/>
      </c>
      <c r="L365" s="7" t="str">
        <f aca="false">IF(A365="","",YEAR(A365))</f>
        <v/>
      </c>
      <c r="M365" s="9" t="str">
        <f aca="false">IF(B365="","",B365&amp;"|"&amp;COUNTIF(B$2:B365,B365))</f>
        <v/>
      </c>
    </row>
    <row r="366" customFormat="false" ht="15" hidden="false" customHeight="false" outlineLevel="0" collapsed="false">
      <c r="A366" s="5"/>
      <c r="B366" s="6"/>
      <c r="C366" s="6"/>
      <c r="D366" s="6"/>
      <c r="E366" s="7" t="str">
        <f aca="false">IF(D366="","",IFERROR(INDEX(Товары!$B$2:$B$200,MATCH(D366,Товары!$A$2:$A$200,0)),"нет в справочнике"))</f>
        <v/>
      </c>
      <c r="F366" s="6"/>
      <c r="G366" s="8" t="str">
        <f aca="false">IF(D366="","",IFERROR(INDEX(Товары!$C$2:$C$200,MATCH(D366,Товары!$A$2:$A$200,0)),0))</f>
        <v/>
      </c>
      <c r="H366" s="8" t="str">
        <f aca="false">IF(D366="","",F366*G366)</f>
        <v/>
      </c>
      <c r="I366" s="8" t="str">
        <f aca="false">IF(D366="","",F366*IFERROR(INDEX(Товары!$D$2:$D$200,MATCH(D366,Товары!$A$2:$A$200,0)),0))</f>
        <v/>
      </c>
      <c r="J366" s="8" t="str">
        <f aca="false">IF(D366="","",H366-I366)</f>
        <v/>
      </c>
      <c r="K366" s="7" t="str">
        <f aca="false">IF(A366="","",MONTH(A366))</f>
        <v/>
      </c>
      <c r="L366" s="7" t="str">
        <f aca="false">IF(A366="","",YEAR(A366))</f>
        <v/>
      </c>
      <c r="M366" s="9" t="str">
        <f aca="false">IF(B366="","",B366&amp;"|"&amp;COUNTIF(B$2:B366,B366))</f>
        <v/>
      </c>
    </row>
    <row r="367" customFormat="false" ht="15" hidden="false" customHeight="false" outlineLevel="0" collapsed="false">
      <c r="A367" s="5"/>
      <c r="B367" s="6"/>
      <c r="C367" s="6"/>
      <c r="D367" s="6"/>
      <c r="E367" s="7" t="str">
        <f aca="false">IF(D367="","",IFERROR(INDEX(Товары!$B$2:$B$200,MATCH(D367,Товары!$A$2:$A$200,0)),"нет в справочнике"))</f>
        <v/>
      </c>
      <c r="F367" s="6"/>
      <c r="G367" s="8" t="str">
        <f aca="false">IF(D367="","",IFERROR(INDEX(Товары!$C$2:$C$200,MATCH(D367,Товары!$A$2:$A$200,0)),0))</f>
        <v/>
      </c>
      <c r="H367" s="8" t="str">
        <f aca="false">IF(D367="","",F367*G367)</f>
        <v/>
      </c>
      <c r="I367" s="8" t="str">
        <f aca="false">IF(D367="","",F367*IFERROR(INDEX(Товары!$D$2:$D$200,MATCH(D367,Товары!$A$2:$A$200,0)),0))</f>
        <v/>
      </c>
      <c r="J367" s="8" t="str">
        <f aca="false">IF(D367="","",H367-I367)</f>
        <v/>
      </c>
      <c r="K367" s="7" t="str">
        <f aca="false">IF(A367="","",MONTH(A367))</f>
        <v/>
      </c>
      <c r="L367" s="7" t="str">
        <f aca="false">IF(A367="","",YEAR(A367))</f>
        <v/>
      </c>
      <c r="M367" s="9" t="str">
        <f aca="false">IF(B367="","",B367&amp;"|"&amp;COUNTIF(B$2:B367,B367))</f>
        <v/>
      </c>
    </row>
    <row r="368" customFormat="false" ht="15" hidden="false" customHeight="false" outlineLevel="0" collapsed="false">
      <c r="A368" s="5"/>
      <c r="B368" s="6"/>
      <c r="C368" s="6"/>
      <c r="D368" s="6"/>
      <c r="E368" s="7" t="str">
        <f aca="false">IF(D368="","",IFERROR(INDEX(Товары!$B$2:$B$200,MATCH(D368,Товары!$A$2:$A$200,0)),"нет в справочнике"))</f>
        <v/>
      </c>
      <c r="F368" s="6"/>
      <c r="G368" s="8" t="str">
        <f aca="false">IF(D368="","",IFERROR(INDEX(Товары!$C$2:$C$200,MATCH(D368,Товары!$A$2:$A$200,0)),0))</f>
        <v/>
      </c>
      <c r="H368" s="8" t="str">
        <f aca="false">IF(D368="","",F368*G368)</f>
        <v/>
      </c>
      <c r="I368" s="8" t="str">
        <f aca="false">IF(D368="","",F368*IFERROR(INDEX(Товары!$D$2:$D$200,MATCH(D368,Товары!$A$2:$A$200,0)),0))</f>
        <v/>
      </c>
      <c r="J368" s="8" t="str">
        <f aca="false">IF(D368="","",H368-I368)</f>
        <v/>
      </c>
      <c r="K368" s="7" t="str">
        <f aca="false">IF(A368="","",MONTH(A368))</f>
        <v/>
      </c>
      <c r="L368" s="7" t="str">
        <f aca="false">IF(A368="","",YEAR(A368))</f>
        <v/>
      </c>
      <c r="M368" s="9" t="str">
        <f aca="false">IF(B368="","",B368&amp;"|"&amp;COUNTIF(B$2:B368,B368))</f>
        <v/>
      </c>
    </row>
    <row r="369" customFormat="false" ht="15" hidden="false" customHeight="false" outlineLevel="0" collapsed="false">
      <c r="A369" s="5"/>
      <c r="B369" s="6"/>
      <c r="C369" s="6"/>
      <c r="D369" s="6"/>
      <c r="E369" s="7" t="str">
        <f aca="false">IF(D369="","",IFERROR(INDEX(Товары!$B$2:$B$200,MATCH(D369,Товары!$A$2:$A$200,0)),"нет в справочнике"))</f>
        <v/>
      </c>
      <c r="F369" s="6"/>
      <c r="G369" s="8" t="str">
        <f aca="false">IF(D369="","",IFERROR(INDEX(Товары!$C$2:$C$200,MATCH(D369,Товары!$A$2:$A$200,0)),0))</f>
        <v/>
      </c>
      <c r="H369" s="8" t="str">
        <f aca="false">IF(D369="","",F369*G369)</f>
        <v/>
      </c>
      <c r="I369" s="8" t="str">
        <f aca="false">IF(D369="","",F369*IFERROR(INDEX(Товары!$D$2:$D$200,MATCH(D369,Товары!$A$2:$A$200,0)),0))</f>
        <v/>
      </c>
      <c r="J369" s="8" t="str">
        <f aca="false">IF(D369="","",H369-I369)</f>
        <v/>
      </c>
      <c r="K369" s="7" t="str">
        <f aca="false">IF(A369="","",MONTH(A369))</f>
        <v/>
      </c>
      <c r="L369" s="7" t="str">
        <f aca="false">IF(A369="","",YEAR(A369))</f>
        <v/>
      </c>
      <c r="M369" s="9" t="str">
        <f aca="false">IF(B369="","",B369&amp;"|"&amp;COUNTIF(B$2:B369,B369))</f>
        <v/>
      </c>
    </row>
    <row r="370" customFormat="false" ht="15" hidden="false" customHeight="false" outlineLevel="0" collapsed="false">
      <c r="A370" s="5"/>
      <c r="B370" s="6"/>
      <c r="C370" s="6"/>
      <c r="D370" s="6"/>
      <c r="E370" s="7" t="str">
        <f aca="false">IF(D370="","",IFERROR(INDEX(Товары!$B$2:$B$200,MATCH(D370,Товары!$A$2:$A$200,0)),"нет в справочнике"))</f>
        <v/>
      </c>
      <c r="F370" s="6"/>
      <c r="G370" s="8" t="str">
        <f aca="false">IF(D370="","",IFERROR(INDEX(Товары!$C$2:$C$200,MATCH(D370,Товары!$A$2:$A$200,0)),0))</f>
        <v/>
      </c>
      <c r="H370" s="8" t="str">
        <f aca="false">IF(D370="","",F370*G370)</f>
        <v/>
      </c>
      <c r="I370" s="8" t="str">
        <f aca="false">IF(D370="","",F370*IFERROR(INDEX(Товары!$D$2:$D$200,MATCH(D370,Товары!$A$2:$A$200,0)),0))</f>
        <v/>
      </c>
      <c r="J370" s="8" t="str">
        <f aca="false">IF(D370="","",H370-I370)</f>
        <v/>
      </c>
      <c r="K370" s="7" t="str">
        <f aca="false">IF(A370="","",MONTH(A370))</f>
        <v/>
      </c>
      <c r="L370" s="7" t="str">
        <f aca="false">IF(A370="","",YEAR(A370))</f>
        <v/>
      </c>
      <c r="M370" s="9" t="str">
        <f aca="false">IF(B370="","",B370&amp;"|"&amp;COUNTIF(B$2:B370,B370))</f>
        <v/>
      </c>
    </row>
    <row r="371" customFormat="false" ht="15" hidden="false" customHeight="false" outlineLevel="0" collapsed="false">
      <c r="A371" s="5"/>
      <c r="B371" s="6"/>
      <c r="C371" s="6"/>
      <c r="D371" s="6"/>
      <c r="E371" s="7" t="str">
        <f aca="false">IF(D371="","",IFERROR(INDEX(Товары!$B$2:$B$200,MATCH(D371,Товары!$A$2:$A$200,0)),"нет в справочнике"))</f>
        <v/>
      </c>
      <c r="F371" s="6"/>
      <c r="G371" s="8" t="str">
        <f aca="false">IF(D371="","",IFERROR(INDEX(Товары!$C$2:$C$200,MATCH(D371,Товары!$A$2:$A$200,0)),0))</f>
        <v/>
      </c>
      <c r="H371" s="8" t="str">
        <f aca="false">IF(D371="","",F371*G371)</f>
        <v/>
      </c>
      <c r="I371" s="8" t="str">
        <f aca="false">IF(D371="","",F371*IFERROR(INDEX(Товары!$D$2:$D$200,MATCH(D371,Товары!$A$2:$A$200,0)),0))</f>
        <v/>
      </c>
      <c r="J371" s="8" t="str">
        <f aca="false">IF(D371="","",H371-I371)</f>
        <v/>
      </c>
      <c r="K371" s="7" t="str">
        <f aca="false">IF(A371="","",MONTH(A371))</f>
        <v/>
      </c>
      <c r="L371" s="7" t="str">
        <f aca="false">IF(A371="","",YEAR(A371))</f>
        <v/>
      </c>
      <c r="M371" s="9" t="str">
        <f aca="false">IF(B371="","",B371&amp;"|"&amp;COUNTIF(B$2:B371,B371))</f>
        <v/>
      </c>
    </row>
    <row r="372" customFormat="false" ht="15" hidden="false" customHeight="false" outlineLevel="0" collapsed="false">
      <c r="A372" s="5"/>
      <c r="B372" s="6"/>
      <c r="C372" s="6"/>
      <c r="D372" s="6"/>
      <c r="E372" s="7" t="str">
        <f aca="false">IF(D372="","",IFERROR(INDEX(Товары!$B$2:$B$200,MATCH(D372,Товары!$A$2:$A$200,0)),"нет в справочнике"))</f>
        <v/>
      </c>
      <c r="F372" s="6"/>
      <c r="G372" s="8" t="str">
        <f aca="false">IF(D372="","",IFERROR(INDEX(Товары!$C$2:$C$200,MATCH(D372,Товары!$A$2:$A$200,0)),0))</f>
        <v/>
      </c>
      <c r="H372" s="8" t="str">
        <f aca="false">IF(D372="","",F372*G372)</f>
        <v/>
      </c>
      <c r="I372" s="8" t="str">
        <f aca="false">IF(D372="","",F372*IFERROR(INDEX(Товары!$D$2:$D$200,MATCH(D372,Товары!$A$2:$A$200,0)),0))</f>
        <v/>
      </c>
      <c r="J372" s="8" t="str">
        <f aca="false">IF(D372="","",H372-I372)</f>
        <v/>
      </c>
      <c r="K372" s="7" t="str">
        <f aca="false">IF(A372="","",MONTH(A372))</f>
        <v/>
      </c>
      <c r="L372" s="7" t="str">
        <f aca="false">IF(A372="","",YEAR(A372))</f>
        <v/>
      </c>
      <c r="M372" s="9" t="str">
        <f aca="false">IF(B372="","",B372&amp;"|"&amp;COUNTIF(B$2:B372,B372))</f>
        <v/>
      </c>
    </row>
    <row r="373" customFormat="false" ht="15" hidden="false" customHeight="false" outlineLevel="0" collapsed="false">
      <c r="A373" s="5"/>
      <c r="B373" s="6"/>
      <c r="C373" s="6"/>
      <c r="D373" s="6"/>
      <c r="E373" s="7" t="str">
        <f aca="false">IF(D373="","",IFERROR(INDEX(Товары!$B$2:$B$200,MATCH(D373,Товары!$A$2:$A$200,0)),"нет в справочнике"))</f>
        <v/>
      </c>
      <c r="F373" s="6"/>
      <c r="G373" s="8" t="str">
        <f aca="false">IF(D373="","",IFERROR(INDEX(Товары!$C$2:$C$200,MATCH(D373,Товары!$A$2:$A$200,0)),0))</f>
        <v/>
      </c>
      <c r="H373" s="8" t="str">
        <f aca="false">IF(D373="","",F373*G373)</f>
        <v/>
      </c>
      <c r="I373" s="8" t="str">
        <f aca="false">IF(D373="","",F373*IFERROR(INDEX(Товары!$D$2:$D$200,MATCH(D373,Товары!$A$2:$A$200,0)),0))</f>
        <v/>
      </c>
      <c r="J373" s="8" t="str">
        <f aca="false">IF(D373="","",H373-I373)</f>
        <v/>
      </c>
      <c r="K373" s="7" t="str">
        <f aca="false">IF(A373="","",MONTH(A373))</f>
        <v/>
      </c>
      <c r="L373" s="7" t="str">
        <f aca="false">IF(A373="","",YEAR(A373))</f>
        <v/>
      </c>
      <c r="M373" s="9" t="str">
        <f aca="false">IF(B373="","",B373&amp;"|"&amp;COUNTIF(B$2:B373,B373))</f>
        <v/>
      </c>
    </row>
    <row r="374" customFormat="false" ht="15" hidden="false" customHeight="false" outlineLevel="0" collapsed="false">
      <c r="A374" s="5"/>
      <c r="B374" s="6"/>
      <c r="C374" s="6"/>
      <c r="D374" s="6"/>
      <c r="E374" s="7" t="str">
        <f aca="false">IF(D374="","",IFERROR(INDEX(Товары!$B$2:$B$200,MATCH(D374,Товары!$A$2:$A$200,0)),"нет в справочнике"))</f>
        <v/>
      </c>
      <c r="F374" s="6"/>
      <c r="G374" s="8" t="str">
        <f aca="false">IF(D374="","",IFERROR(INDEX(Товары!$C$2:$C$200,MATCH(D374,Товары!$A$2:$A$200,0)),0))</f>
        <v/>
      </c>
      <c r="H374" s="8" t="str">
        <f aca="false">IF(D374="","",F374*G374)</f>
        <v/>
      </c>
      <c r="I374" s="8" t="str">
        <f aca="false">IF(D374="","",F374*IFERROR(INDEX(Товары!$D$2:$D$200,MATCH(D374,Товары!$A$2:$A$200,0)),0))</f>
        <v/>
      </c>
      <c r="J374" s="8" t="str">
        <f aca="false">IF(D374="","",H374-I374)</f>
        <v/>
      </c>
      <c r="K374" s="7" t="str">
        <f aca="false">IF(A374="","",MONTH(A374))</f>
        <v/>
      </c>
      <c r="L374" s="7" t="str">
        <f aca="false">IF(A374="","",YEAR(A374))</f>
        <v/>
      </c>
      <c r="M374" s="9" t="str">
        <f aca="false">IF(B374="","",B374&amp;"|"&amp;COUNTIF(B$2:B374,B374))</f>
        <v/>
      </c>
    </row>
    <row r="375" customFormat="false" ht="15" hidden="false" customHeight="false" outlineLevel="0" collapsed="false">
      <c r="A375" s="5"/>
      <c r="B375" s="6"/>
      <c r="C375" s="6"/>
      <c r="D375" s="6"/>
      <c r="E375" s="7" t="str">
        <f aca="false">IF(D375="","",IFERROR(INDEX(Товары!$B$2:$B$200,MATCH(D375,Товары!$A$2:$A$200,0)),"нет в справочнике"))</f>
        <v/>
      </c>
      <c r="F375" s="6"/>
      <c r="G375" s="8" t="str">
        <f aca="false">IF(D375="","",IFERROR(INDEX(Товары!$C$2:$C$200,MATCH(D375,Товары!$A$2:$A$200,0)),0))</f>
        <v/>
      </c>
      <c r="H375" s="8" t="str">
        <f aca="false">IF(D375="","",F375*G375)</f>
        <v/>
      </c>
      <c r="I375" s="8" t="str">
        <f aca="false">IF(D375="","",F375*IFERROR(INDEX(Товары!$D$2:$D$200,MATCH(D375,Товары!$A$2:$A$200,0)),0))</f>
        <v/>
      </c>
      <c r="J375" s="8" t="str">
        <f aca="false">IF(D375="","",H375-I375)</f>
        <v/>
      </c>
      <c r="K375" s="7" t="str">
        <f aca="false">IF(A375="","",MONTH(A375))</f>
        <v/>
      </c>
      <c r="L375" s="7" t="str">
        <f aca="false">IF(A375="","",YEAR(A375))</f>
        <v/>
      </c>
      <c r="M375" s="9" t="str">
        <f aca="false">IF(B375="","",B375&amp;"|"&amp;COUNTIF(B$2:B375,B375))</f>
        <v/>
      </c>
    </row>
    <row r="376" customFormat="false" ht="15" hidden="false" customHeight="false" outlineLevel="0" collapsed="false">
      <c r="A376" s="5"/>
      <c r="B376" s="6"/>
      <c r="C376" s="6"/>
      <c r="D376" s="6"/>
      <c r="E376" s="7" t="str">
        <f aca="false">IF(D376="","",IFERROR(INDEX(Товары!$B$2:$B$200,MATCH(D376,Товары!$A$2:$A$200,0)),"нет в справочнике"))</f>
        <v/>
      </c>
      <c r="F376" s="6"/>
      <c r="G376" s="8" t="str">
        <f aca="false">IF(D376="","",IFERROR(INDEX(Товары!$C$2:$C$200,MATCH(D376,Товары!$A$2:$A$200,0)),0))</f>
        <v/>
      </c>
      <c r="H376" s="8" t="str">
        <f aca="false">IF(D376="","",F376*G376)</f>
        <v/>
      </c>
      <c r="I376" s="8" t="str">
        <f aca="false">IF(D376="","",F376*IFERROR(INDEX(Товары!$D$2:$D$200,MATCH(D376,Товары!$A$2:$A$200,0)),0))</f>
        <v/>
      </c>
      <c r="J376" s="8" t="str">
        <f aca="false">IF(D376="","",H376-I376)</f>
        <v/>
      </c>
      <c r="K376" s="7" t="str">
        <f aca="false">IF(A376="","",MONTH(A376))</f>
        <v/>
      </c>
      <c r="L376" s="7" t="str">
        <f aca="false">IF(A376="","",YEAR(A376))</f>
        <v/>
      </c>
      <c r="M376" s="9" t="str">
        <f aca="false">IF(B376="","",B376&amp;"|"&amp;COUNTIF(B$2:B376,B376))</f>
        <v/>
      </c>
    </row>
    <row r="377" customFormat="false" ht="15" hidden="false" customHeight="false" outlineLevel="0" collapsed="false">
      <c r="A377" s="5"/>
      <c r="B377" s="6"/>
      <c r="C377" s="6"/>
      <c r="D377" s="6"/>
      <c r="E377" s="7" t="str">
        <f aca="false">IF(D377="","",IFERROR(INDEX(Товары!$B$2:$B$200,MATCH(D377,Товары!$A$2:$A$200,0)),"нет в справочнике"))</f>
        <v/>
      </c>
      <c r="F377" s="6"/>
      <c r="G377" s="8" t="str">
        <f aca="false">IF(D377="","",IFERROR(INDEX(Товары!$C$2:$C$200,MATCH(D377,Товары!$A$2:$A$200,0)),0))</f>
        <v/>
      </c>
      <c r="H377" s="8" t="str">
        <f aca="false">IF(D377="","",F377*G377)</f>
        <v/>
      </c>
      <c r="I377" s="8" t="str">
        <f aca="false">IF(D377="","",F377*IFERROR(INDEX(Товары!$D$2:$D$200,MATCH(D377,Товары!$A$2:$A$200,0)),0))</f>
        <v/>
      </c>
      <c r="J377" s="8" t="str">
        <f aca="false">IF(D377="","",H377-I377)</f>
        <v/>
      </c>
      <c r="K377" s="7" t="str">
        <f aca="false">IF(A377="","",MONTH(A377))</f>
        <v/>
      </c>
      <c r="L377" s="7" t="str">
        <f aca="false">IF(A377="","",YEAR(A377))</f>
        <v/>
      </c>
      <c r="M377" s="9" t="str">
        <f aca="false">IF(B377="","",B377&amp;"|"&amp;COUNTIF(B$2:B377,B377))</f>
        <v/>
      </c>
    </row>
    <row r="378" customFormat="false" ht="15" hidden="false" customHeight="false" outlineLevel="0" collapsed="false">
      <c r="A378" s="5"/>
      <c r="B378" s="6"/>
      <c r="C378" s="6"/>
      <c r="D378" s="6"/>
      <c r="E378" s="7" t="str">
        <f aca="false">IF(D378="","",IFERROR(INDEX(Товары!$B$2:$B$200,MATCH(D378,Товары!$A$2:$A$200,0)),"нет в справочнике"))</f>
        <v/>
      </c>
      <c r="F378" s="6"/>
      <c r="G378" s="8" t="str">
        <f aca="false">IF(D378="","",IFERROR(INDEX(Товары!$C$2:$C$200,MATCH(D378,Товары!$A$2:$A$200,0)),0))</f>
        <v/>
      </c>
      <c r="H378" s="8" t="str">
        <f aca="false">IF(D378="","",F378*G378)</f>
        <v/>
      </c>
      <c r="I378" s="8" t="str">
        <f aca="false">IF(D378="","",F378*IFERROR(INDEX(Товары!$D$2:$D$200,MATCH(D378,Товары!$A$2:$A$200,0)),0))</f>
        <v/>
      </c>
      <c r="J378" s="8" t="str">
        <f aca="false">IF(D378="","",H378-I378)</f>
        <v/>
      </c>
      <c r="K378" s="7" t="str">
        <f aca="false">IF(A378="","",MONTH(A378))</f>
        <v/>
      </c>
      <c r="L378" s="7" t="str">
        <f aca="false">IF(A378="","",YEAR(A378))</f>
        <v/>
      </c>
      <c r="M378" s="9" t="str">
        <f aca="false">IF(B378="","",B378&amp;"|"&amp;COUNTIF(B$2:B378,B378))</f>
        <v/>
      </c>
    </row>
    <row r="379" customFormat="false" ht="15" hidden="false" customHeight="false" outlineLevel="0" collapsed="false">
      <c r="A379" s="5"/>
      <c r="B379" s="6"/>
      <c r="C379" s="6"/>
      <c r="D379" s="6"/>
      <c r="E379" s="7" t="str">
        <f aca="false">IF(D379="","",IFERROR(INDEX(Товары!$B$2:$B$200,MATCH(D379,Товары!$A$2:$A$200,0)),"нет в справочнике"))</f>
        <v/>
      </c>
      <c r="F379" s="6"/>
      <c r="G379" s="8" t="str">
        <f aca="false">IF(D379="","",IFERROR(INDEX(Товары!$C$2:$C$200,MATCH(D379,Товары!$A$2:$A$200,0)),0))</f>
        <v/>
      </c>
      <c r="H379" s="8" t="str">
        <f aca="false">IF(D379="","",F379*G379)</f>
        <v/>
      </c>
      <c r="I379" s="8" t="str">
        <f aca="false">IF(D379="","",F379*IFERROR(INDEX(Товары!$D$2:$D$200,MATCH(D379,Товары!$A$2:$A$200,0)),0))</f>
        <v/>
      </c>
      <c r="J379" s="8" t="str">
        <f aca="false">IF(D379="","",H379-I379)</f>
        <v/>
      </c>
      <c r="K379" s="7" t="str">
        <f aca="false">IF(A379="","",MONTH(A379))</f>
        <v/>
      </c>
      <c r="L379" s="7" t="str">
        <f aca="false">IF(A379="","",YEAR(A379))</f>
        <v/>
      </c>
      <c r="M379" s="9" t="str">
        <f aca="false">IF(B379="","",B379&amp;"|"&amp;COUNTIF(B$2:B379,B379))</f>
        <v/>
      </c>
    </row>
    <row r="380" customFormat="false" ht="15" hidden="false" customHeight="false" outlineLevel="0" collapsed="false">
      <c r="A380" s="5"/>
      <c r="B380" s="6"/>
      <c r="C380" s="6"/>
      <c r="D380" s="6"/>
      <c r="E380" s="7" t="str">
        <f aca="false">IF(D380="","",IFERROR(INDEX(Товары!$B$2:$B$200,MATCH(D380,Товары!$A$2:$A$200,0)),"нет в справочнике"))</f>
        <v/>
      </c>
      <c r="F380" s="6"/>
      <c r="G380" s="8" t="str">
        <f aca="false">IF(D380="","",IFERROR(INDEX(Товары!$C$2:$C$200,MATCH(D380,Товары!$A$2:$A$200,0)),0))</f>
        <v/>
      </c>
      <c r="H380" s="8" t="str">
        <f aca="false">IF(D380="","",F380*G380)</f>
        <v/>
      </c>
      <c r="I380" s="8" t="str">
        <f aca="false">IF(D380="","",F380*IFERROR(INDEX(Товары!$D$2:$D$200,MATCH(D380,Товары!$A$2:$A$200,0)),0))</f>
        <v/>
      </c>
      <c r="J380" s="8" t="str">
        <f aca="false">IF(D380="","",H380-I380)</f>
        <v/>
      </c>
      <c r="K380" s="7" t="str">
        <f aca="false">IF(A380="","",MONTH(A380))</f>
        <v/>
      </c>
      <c r="L380" s="7" t="str">
        <f aca="false">IF(A380="","",YEAR(A380))</f>
        <v/>
      </c>
      <c r="M380" s="9" t="str">
        <f aca="false">IF(B380="","",B380&amp;"|"&amp;COUNTIF(B$2:B380,B380))</f>
        <v/>
      </c>
    </row>
    <row r="381" customFormat="false" ht="15" hidden="false" customHeight="false" outlineLevel="0" collapsed="false">
      <c r="A381" s="5"/>
      <c r="B381" s="6"/>
      <c r="C381" s="6"/>
      <c r="D381" s="6"/>
      <c r="E381" s="7" t="str">
        <f aca="false">IF(D381="","",IFERROR(INDEX(Товары!$B$2:$B$200,MATCH(D381,Товары!$A$2:$A$200,0)),"нет в справочнике"))</f>
        <v/>
      </c>
      <c r="F381" s="6"/>
      <c r="G381" s="8" t="str">
        <f aca="false">IF(D381="","",IFERROR(INDEX(Товары!$C$2:$C$200,MATCH(D381,Товары!$A$2:$A$200,0)),0))</f>
        <v/>
      </c>
      <c r="H381" s="8" t="str">
        <f aca="false">IF(D381="","",F381*G381)</f>
        <v/>
      </c>
      <c r="I381" s="8" t="str">
        <f aca="false">IF(D381="","",F381*IFERROR(INDEX(Товары!$D$2:$D$200,MATCH(D381,Товары!$A$2:$A$200,0)),0))</f>
        <v/>
      </c>
      <c r="J381" s="8" t="str">
        <f aca="false">IF(D381="","",H381-I381)</f>
        <v/>
      </c>
      <c r="K381" s="7" t="str">
        <f aca="false">IF(A381="","",MONTH(A381))</f>
        <v/>
      </c>
      <c r="L381" s="7" t="str">
        <f aca="false">IF(A381="","",YEAR(A381))</f>
        <v/>
      </c>
      <c r="M381" s="9" t="str">
        <f aca="false">IF(B381="","",B381&amp;"|"&amp;COUNTIF(B$2:B381,B381))</f>
        <v/>
      </c>
    </row>
    <row r="382" customFormat="false" ht="15" hidden="false" customHeight="false" outlineLevel="0" collapsed="false">
      <c r="A382" s="5"/>
      <c r="B382" s="6"/>
      <c r="C382" s="6"/>
      <c r="D382" s="6"/>
      <c r="E382" s="7" t="str">
        <f aca="false">IF(D382="","",IFERROR(INDEX(Товары!$B$2:$B$200,MATCH(D382,Товары!$A$2:$A$200,0)),"нет в справочнике"))</f>
        <v/>
      </c>
      <c r="F382" s="6"/>
      <c r="G382" s="8" t="str">
        <f aca="false">IF(D382="","",IFERROR(INDEX(Товары!$C$2:$C$200,MATCH(D382,Товары!$A$2:$A$200,0)),0))</f>
        <v/>
      </c>
      <c r="H382" s="8" t="str">
        <f aca="false">IF(D382="","",F382*G382)</f>
        <v/>
      </c>
      <c r="I382" s="8" t="str">
        <f aca="false">IF(D382="","",F382*IFERROR(INDEX(Товары!$D$2:$D$200,MATCH(D382,Товары!$A$2:$A$200,0)),0))</f>
        <v/>
      </c>
      <c r="J382" s="8" t="str">
        <f aca="false">IF(D382="","",H382-I382)</f>
        <v/>
      </c>
      <c r="K382" s="7" t="str">
        <f aca="false">IF(A382="","",MONTH(A382))</f>
        <v/>
      </c>
      <c r="L382" s="7" t="str">
        <f aca="false">IF(A382="","",YEAR(A382))</f>
        <v/>
      </c>
      <c r="M382" s="9" t="str">
        <f aca="false">IF(B382="","",B382&amp;"|"&amp;COUNTIF(B$2:B382,B382))</f>
        <v/>
      </c>
    </row>
    <row r="383" customFormat="false" ht="15" hidden="false" customHeight="false" outlineLevel="0" collapsed="false">
      <c r="A383" s="5"/>
      <c r="B383" s="6"/>
      <c r="C383" s="6"/>
      <c r="D383" s="6"/>
      <c r="E383" s="7" t="str">
        <f aca="false">IF(D383="","",IFERROR(INDEX(Товары!$B$2:$B$200,MATCH(D383,Товары!$A$2:$A$200,0)),"нет в справочнике"))</f>
        <v/>
      </c>
      <c r="F383" s="6"/>
      <c r="G383" s="8" t="str">
        <f aca="false">IF(D383="","",IFERROR(INDEX(Товары!$C$2:$C$200,MATCH(D383,Товары!$A$2:$A$200,0)),0))</f>
        <v/>
      </c>
      <c r="H383" s="8" t="str">
        <f aca="false">IF(D383="","",F383*G383)</f>
        <v/>
      </c>
      <c r="I383" s="8" t="str">
        <f aca="false">IF(D383="","",F383*IFERROR(INDEX(Товары!$D$2:$D$200,MATCH(D383,Товары!$A$2:$A$200,0)),0))</f>
        <v/>
      </c>
      <c r="J383" s="8" t="str">
        <f aca="false">IF(D383="","",H383-I383)</f>
        <v/>
      </c>
      <c r="K383" s="7" t="str">
        <f aca="false">IF(A383="","",MONTH(A383))</f>
        <v/>
      </c>
      <c r="L383" s="7" t="str">
        <f aca="false">IF(A383="","",YEAR(A383))</f>
        <v/>
      </c>
      <c r="M383" s="9" t="str">
        <f aca="false">IF(B383="","",B383&amp;"|"&amp;COUNTIF(B$2:B383,B383))</f>
        <v/>
      </c>
    </row>
    <row r="384" customFormat="false" ht="15" hidden="false" customHeight="false" outlineLevel="0" collapsed="false">
      <c r="A384" s="5"/>
      <c r="B384" s="6"/>
      <c r="C384" s="6"/>
      <c r="D384" s="6"/>
      <c r="E384" s="7" t="str">
        <f aca="false">IF(D384="","",IFERROR(INDEX(Товары!$B$2:$B$200,MATCH(D384,Товары!$A$2:$A$200,0)),"нет в справочнике"))</f>
        <v/>
      </c>
      <c r="F384" s="6"/>
      <c r="G384" s="8" t="str">
        <f aca="false">IF(D384="","",IFERROR(INDEX(Товары!$C$2:$C$200,MATCH(D384,Товары!$A$2:$A$200,0)),0))</f>
        <v/>
      </c>
      <c r="H384" s="8" t="str">
        <f aca="false">IF(D384="","",F384*G384)</f>
        <v/>
      </c>
      <c r="I384" s="8" t="str">
        <f aca="false">IF(D384="","",F384*IFERROR(INDEX(Товары!$D$2:$D$200,MATCH(D384,Товары!$A$2:$A$200,0)),0))</f>
        <v/>
      </c>
      <c r="J384" s="8" t="str">
        <f aca="false">IF(D384="","",H384-I384)</f>
        <v/>
      </c>
      <c r="K384" s="7" t="str">
        <f aca="false">IF(A384="","",MONTH(A384))</f>
        <v/>
      </c>
      <c r="L384" s="7" t="str">
        <f aca="false">IF(A384="","",YEAR(A384))</f>
        <v/>
      </c>
      <c r="M384" s="9" t="str">
        <f aca="false">IF(B384="","",B384&amp;"|"&amp;COUNTIF(B$2:B384,B384))</f>
        <v/>
      </c>
    </row>
    <row r="385" customFormat="false" ht="15" hidden="false" customHeight="false" outlineLevel="0" collapsed="false">
      <c r="A385" s="5"/>
      <c r="B385" s="6"/>
      <c r="C385" s="6"/>
      <c r="D385" s="6"/>
      <c r="E385" s="7" t="str">
        <f aca="false">IF(D385="","",IFERROR(INDEX(Товары!$B$2:$B$200,MATCH(D385,Товары!$A$2:$A$200,0)),"нет в справочнике"))</f>
        <v/>
      </c>
      <c r="F385" s="6"/>
      <c r="G385" s="8" t="str">
        <f aca="false">IF(D385="","",IFERROR(INDEX(Товары!$C$2:$C$200,MATCH(D385,Товары!$A$2:$A$200,0)),0))</f>
        <v/>
      </c>
      <c r="H385" s="8" t="str">
        <f aca="false">IF(D385="","",F385*G385)</f>
        <v/>
      </c>
      <c r="I385" s="8" t="str">
        <f aca="false">IF(D385="","",F385*IFERROR(INDEX(Товары!$D$2:$D$200,MATCH(D385,Товары!$A$2:$A$200,0)),0))</f>
        <v/>
      </c>
      <c r="J385" s="8" t="str">
        <f aca="false">IF(D385="","",H385-I385)</f>
        <v/>
      </c>
      <c r="K385" s="7" t="str">
        <f aca="false">IF(A385="","",MONTH(A385))</f>
        <v/>
      </c>
      <c r="L385" s="7" t="str">
        <f aca="false">IF(A385="","",YEAR(A385))</f>
        <v/>
      </c>
      <c r="M385" s="9" t="str">
        <f aca="false">IF(B385="","",B385&amp;"|"&amp;COUNTIF(B$2:B385,B385))</f>
        <v/>
      </c>
    </row>
    <row r="386" customFormat="false" ht="15" hidden="false" customHeight="false" outlineLevel="0" collapsed="false">
      <c r="A386" s="5"/>
      <c r="B386" s="6"/>
      <c r="C386" s="6"/>
      <c r="D386" s="6"/>
      <c r="E386" s="7" t="str">
        <f aca="false">IF(D386="","",IFERROR(INDEX(Товары!$B$2:$B$200,MATCH(D386,Товары!$A$2:$A$200,0)),"нет в справочнике"))</f>
        <v/>
      </c>
      <c r="F386" s="6"/>
      <c r="G386" s="8" t="str">
        <f aca="false">IF(D386="","",IFERROR(INDEX(Товары!$C$2:$C$200,MATCH(D386,Товары!$A$2:$A$200,0)),0))</f>
        <v/>
      </c>
      <c r="H386" s="8" t="str">
        <f aca="false">IF(D386="","",F386*G386)</f>
        <v/>
      </c>
      <c r="I386" s="8" t="str">
        <f aca="false">IF(D386="","",F386*IFERROR(INDEX(Товары!$D$2:$D$200,MATCH(D386,Товары!$A$2:$A$200,0)),0))</f>
        <v/>
      </c>
      <c r="J386" s="8" t="str">
        <f aca="false">IF(D386="","",H386-I386)</f>
        <v/>
      </c>
      <c r="K386" s="7" t="str">
        <f aca="false">IF(A386="","",MONTH(A386))</f>
        <v/>
      </c>
      <c r="L386" s="7" t="str">
        <f aca="false">IF(A386="","",YEAR(A386))</f>
        <v/>
      </c>
      <c r="M386" s="9" t="str">
        <f aca="false">IF(B386="","",B386&amp;"|"&amp;COUNTIF(B$2:B386,B386))</f>
        <v/>
      </c>
    </row>
    <row r="387" customFormat="false" ht="15" hidden="false" customHeight="false" outlineLevel="0" collapsed="false">
      <c r="A387" s="5"/>
      <c r="B387" s="6"/>
      <c r="C387" s="6"/>
      <c r="D387" s="6"/>
      <c r="E387" s="7" t="str">
        <f aca="false">IF(D387="","",IFERROR(INDEX(Товары!$B$2:$B$200,MATCH(D387,Товары!$A$2:$A$200,0)),"нет в справочнике"))</f>
        <v/>
      </c>
      <c r="F387" s="6"/>
      <c r="G387" s="8" t="str">
        <f aca="false">IF(D387="","",IFERROR(INDEX(Товары!$C$2:$C$200,MATCH(D387,Товары!$A$2:$A$200,0)),0))</f>
        <v/>
      </c>
      <c r="H387" s="8" t="str">
        <f aca="false">IF(D387="","",F387*G387)</f>
        <v/>
      </c>
      <c r="I387" s="8" t="str">
        <f aca="false">IF(D387="","",F387*IFERROR(INDEX(Товары!$D$2:$D$200,MATCH(D387,Товары!$A$2:$A$200,0)),0))</f>
        <v/>
      </c>
      <c r="J387" s="8" t="str">
        <f aca="false">IF(D387="","",H387-I387)</f>
        <v/>
      </c>
      <c r="K387" s="7" t="str">
        <f aca="false">IF(A387="","",MONTH(A387))</f>
        <v/>
      </c>
      <c r="L387" s="7" t="str">
        <f aca="false">IF(A387="","",YEAR(A387))</f>
        <v/>
      </c>
      <c r="M387" s="9" t="str">
        <f aca="false">IF(B387="","",B387&amp;"|"&amp;COUNTIF(B$2:B387,B387))</f>
        <v/>
      </c>
    </row>
    <row r="388" customFormat="false" ht="15" hidden="false" customHeight="false" outlineLevel="0" collapsed="false">
      <c r="A388" s="5"/>
      <c r="B388" s="6"/>
      <c r="C388" s="6"/>
      <c r="D388" s="6"/>
      <c r="E388" s="7" t="str">
        <f aca="false">IF(D388="","",IFERROR(INDEX(Товары!$B$2:$B$200,MATCH(D388,Товары!$A$2:$A$200,0)),"нет в справочнике"))</f>
        <v/>
      </c>
      <c r="F388" s="6"/>
      <c r="G388" s="8" t="str">
        <f aca="false">IF(D388="","",IFERROR(INDEX(Товары!$C$2:$C$200,MATCH(D388,Товары!$A$2:$A$200,0)),0))</f>
        <v/>
      </c>
      <c r="H388" s="8" t="str">
        <f aca="false">IF(D388="","",F388*G388)</f>
        <v/>
      </c>
      <c r="I388" s="8" t="str">
        <f aca="false">IF(D388="","",F388*IFERROR(INDEX(Товары!$D$2:$D$200,MATCH(D388,Товары!$A$2:$A$200,0)),0))</f>
        <v/>
      </c>
      <c r="J388" s="8" t="str">
        <f aca="false">IF(D388="","",H388-I388)</f>
        <v/>
      </c>
      <c r="K388" s="7" t="str">
        <f aca="false">IF(A388="","",MONTH(A388))</f>
        <v/>
      </c>
      <c r="L388" s="7" t="str">
        <f aca="false">IF(A388="","",YEAR(A388))</f>
        <v/>
      </c>
      <c r="M388" s="9" t="str">
        <f aca="false">IF(B388="","",B388&amp;"|"&amp;COUNTIF(B$2:B388,B388))</f>
        <v/>
      </c>
    </row>
    <row r="389" customFormat="false" ht="15" hidden="false" customHeight="false" outlineLevel="0" collapsed="false">
      <c r="A389" s="5"/>
      <c r="B389" s="6"/>
      <c r="C389" s="6"/>
      <c r="D389" s="6"/>
      <c r="E389" s="7" t="str">
        <f aca="false">IF(D389="","",IFERROR(INDEX(Товары!$B$2:$B$200,MATCH(D389,Товары!$A$2:$A$200,0)),"нет в справочнике"))</f>
        <v/>
      </c>
      <c r="F389" s="6"/>
      <c r="G389" s="8" t="str">
        <f aca="false">IF(D389="","",IFERROR(INDEX(Товары!$C$2:$C$200,MATCH(D389,Товары!$A$2:$A$200,0)),0))</f>
        <v/>
      </c>
      <c r="H389" s="8" t="str">
        <f aca="false">IF(D389="","",F389*G389)</f>
        <v/>
      </c>
      <c r="I389" s="8" t="str">
        <f aca="false">IF(D389="","",F389*IFERROR(INDEX(Товары!$D$2:$D$200,MATCH(D389,Товары!$A$2:$A$200,0)),0))</f>
        <v/>
      </c>
      <c r="J389" s="8" t="str">
        <f aca="false">IF(D389="","",H389-I389)</f>
        <v/>
      </c>
      <c r="K389" s="7" t="str">
        <f aca="false">IF(A389="","",MONTH(A389))</f>
        <v/>
      </c>
      <c r="L389" s="7" t="str">
        <f aca="false">IF(A389="","",YEAR(A389))</f>
        <v/>
      </c>
      <c r="M389" s="9" t="str">
        <f aca="false">IF(B389="","",B389&amp;"|"&amp;COUNTIF(B$2:B389,B389))</f>
        <v/>
      </c>
    </row>
    <row r="390" customFormat="false" ht="15" hidden="false" customHeight="false" outlineLevel="0" collapsed="false">
      <c r="A390" s="5"/>
      <c r="B390" s="6"/>
      <c r="C390" s="6"/>
      <c r="D390" s="6"/>
      <c r="E390" s="7" t="str">
        <f aca="false">IF(D390="","",IFERROR(INDEX(Товары!$B$2:$B$200,MATCH(D390,Товары!$A$2:$A$200,0)),"нет в справочнике"))</f>
        <v/>
      </c>
      <c r="F390" s="6"/>
      <c r="G390" s="8" t="str">
        <f aca="false">IF(D390="","",IFERROR(INDEX(Товары!$C$2:$C$200,MATCH(D390,Товары!$A$2:$A$200,0)),0))</f>
        <v/>
      </c>
      <c r="H390" s="8" t="str">
        <f aca="false">IF(D390="","",F390*G390)</f>
        <v/>
      </c>
      <c r="I390" s="8" t="str">
        <f aca="false">IF(D390="","",F390*IFERROR(INDEX(Товары!$D$2:$D$200,MATCH(D390,Товары!$A$2:$A$200,0)),0))</f>
        <v/>
      </c>
      <c r="J390" s="8" t="str">
        <f aca="false">IF(D390="","",H390-I390)</f>
        <v/>
      </c>
      <c r="K390" s="7" t="str">
        <f aca="false">IF(A390="","",MONTH(A390))</f>
        <v/>
      </c>
      <c r="L390" s="7" t="str">
        <f aca="false">IF(A390="","",YEAR(A390))</f>
        <v/>
      </c>
      <c r="M390" s="9" t="str">
        <f aca="false">IF(B390="","",B390&amp;"|"&amp;COUNTIF(B$2:B390,B390))</f>
        <v/>
      </c>
    </row>
    <row r="391" customFormat="false" ht="15" hidden="false" customHeight="false" outlineLevel="0" collapsed="false">
      <c r="A391" s="5"/>
      <c r="B391" s="6"/>
      <c r="C391" s="6"/>
      <c r="D391" s="6"/>
      <c r="E391" s="7" t="str">
        <f aca="false">IF(D391="","",IFERROR(INDEX(Товары!$B$2:$B$200,MATCH(D391,Товары!$A$2:$A$200,0)),"нет в справочнике"))</f>
        <v/>
      </c>
      <c r="F391" s="6"/>
      <c r="G391" s="8" t="str">
        <f aca="false">IF(D391="","",IFERROR(INDEX(Товары!$C$2:$C$200,MATCH(D391,Товары!$A$2:$A$200,0)),0))</f>
        <v/>
      </c>
      <c r="H391" s="8" t="str">
        <f aca="false">IF(D391="","",F391*G391)</f>
        <v/>
      </c>
      <c r="I391" s="8" t="str">
        <f aca="false">IF(D391="","",F391*IFERROR(INDEX(Товары!$D$2:$D$200,MATCH(D391,Товары!$A$2:$A$200,0)),0))</f>
        <v/>
      </c>
      <c r="J391" s="8" t="str">
        <f aca="false">IF(D391="","",H391-I391)</f>
        <v/>
      </c>
      <c r="K391" s="7" t="str">
        <f aca="false">IF(A391="","",MONTH(A391))</f>
        <v/>
      </c>
      <c r="L391" s="7" t="str">
        <f aca="false">IF(A391="","",YEAR(A391))</f>
        <v/>
      </c>
      <c r="M391" s="9" t="str">
        <f aca="false">IF(B391="","",B391&amp;"|"&amp;COUNTIF(B$2:B391,B391))</f>
        <v/>
      </c>
    </row>
    <row r="392" customFormat="false" ht="15" hidden="false" customHeight="false" outlineLevel="0" collapsed="false">
      <c r="A392" s="5"/>
      <c r="B392" s="6"/>
      <c r="C392" s="6"/>
      <c r="D392" s="6"/>
      <c r="E392" s="7" t="str">
        <f aca="false">IF(D392="","",IFERROR(INDEX(Товары!$B$2:$B$200,MATCH(D392,Товары!$A$2:$A$200,0)),"нет в справочнике"))</f>
        <v/>
      </c>
      <c r="F392" s="6"/>
      <c r="G392" s="8" t="str">
        <f aca="false">IF(D392="","",IFERROR(INDEX(Товары!$C$2:$C$200,MATCH(D392,Товары!$A$2:$A$200,0)),0))</f>
        <v/>
      </c>
      <c r="H392" s="8" t="str">
        <f aca="false">IF(D392="","",F392*G392)</f>
        <v/>
      </c>
      <c r="I392" s="8" t="str">
        <f aca="false">IF(D392="","",F392*IFERROR(INDEX(Товары!$D$2:$D$200,MATCH(D392,Товары!$A$2:$A$200,0)),0))</f>
        <v/>
      </c>
      <c r="J392" s="8" t="str">
        <f aca="false">IF(D392="","",H392-I392)</f>
        <v/>
      </c>
      <c r="K392" s="7" t="str">
        <f aca="false">IF(A392="","",MONTH(A392))</f>
        <v/>
      </c>
      <c r="L392" s="7" t="str">
        <f aca="false">IF(A392="","",YEAR(A392))</f>
        <v/>
      </c>
      <c r="M392" s="9" t="str">
        <f aca="false">IF(B392="","",B392&amp;"|"&amp;COUNTIF(B$2:B392,B392))</f>
        <v/>
      </c>
    </row>
    <row r="393" customFormat="false" ht="15" hidden="false" customHeight="false" outlineLevel="0" collapsed="false">
      <c r="A393" s="5"/>
      <c r="B393" s="6"/>
      <c r="C393" s="6"/>
      <c r="D393" s="6"/>
      <c r="E393" s="7" t="str">
        <f aca="false">IF(D393="","",IFERROR(INDEX(Товары!$B$2:$B$200,MATCH(D393,Товары!$A$2:$A$200,0)),"нет в справочнике"))</f>
        <v/>
      </c>
      <c r="F393" s="6"/>
      <c r="G393" s="8" t="str">
        <f aca="false">IF(D393="","",IFERROR(INDEX(Товары!$C$2:$C$200,MATCH(D393,Товары!$A$2:$A$200,0)),0))</f>
        <v/>
      </c>
      <c r="H393" s="8" t="str">
        <f aca="false">IF(D393="","",F393*G393)</f>
        <v/>
      </c>
      <c r="I393" s="8" t="str">
        <f aca="false">IF(D393="","",F393*IFERROR(INDEX(Товары!$D$2:$D$200,MATCH(D393,Товары!$A$2:$A$200,0)),0))</f>
        <v/>
      </c>
      <c r="J393" s="8" t="str">
        <f aca="false">IF(D393="","",H393-I393)</f>
        <v/>
      </c>
      <c r="K393" s="7" t="str">
        <f aca="false">IF(A393="","",MONTH(A393))</f>
        <v/>
      </c>
      <c r="L393" s="7" t="str">
        <f aca="false">IF(A393="","",YEAR(A393))</f>
        <v/>
      </c>
      <c r="M393" s="9" t="str">
        <f aca="false">IF(B393="","",B393&amp;"|"&amp;COUNTIF(B$2:B393,B393))</f>
        <v/>
      </c>
    </row>
    <row r="394" customFormat="false" ht="15" hidden="false" customHeight="false" outlineLevel="0" collapsed="false">
      <c r="A394" s="5"/>
      <c r="B394" s="6"/>
      <c r="C394" s="6"/>
      <c r="D394" s="6"/>
      <c r="E394" s="7" t="str">
        <f aca="false">IF(D394="","",IFERROR(INDEX(Товары!$B$2:$B$200,MATCH(D394,Товары!$A$2:$A$200,0)),"нет в справочнике"))</f>
        <v/>
      </c>
      <c r="F394" s="6"/>
      <c r="G394" s="8" t="str">
        <f aca="false">IF(D394="","",IFERROR(INDEX(Товары!$C$2:$C$200,MATCH(D394,Товары!$A$2:$A$200,0)),0))</f>
        <v/>
      </c>
      <c r="H394" s="8" t="str">
        <f aca="false">IF(D394="","",F394*G394)</f>
        <v/>
      </c>
      <c r="I394" s="8" t="str">
        <f aca="false">IF(D394="","",F394*IFERROR(INDEX(Товары!$D$2:$D$200,MATCH(D394,Товары!$A$2:$A$200,0)),0))</f>
        <v/>
      </c>
      <c r="J394" s="8" t="str">
        <f aca="false">IF(D394="","",H394-I394)</f>
        <v/>
      </c>
      <c r="K394" s="7" t="str">
        <f aca="false">IF(A394="","",MONTH(A394))</f>
        <v/>
      </c>
      <c r="L394" s="7" t="str">
        <f aca="false">IF(A394="","",YEAR(A394))</f>
        <v/>
      </c>
      <c r="M394" s="9" t="str">
        <f aca="false">IF(B394="","",B394&amp;"|"&amp;COUNTIF(B$2:B394,B394))</f>
        <v/>
      </c>
    </row>
    <row r="395" customFormat="false" ht="15" hidden="false" customHeight="false" outlineLevel="0" collapsed="false">
      <c r="A395" s="5"/>
      <c r="B395" s="6"/>
      <c r="C395" s="6"/>
      <c r="D395" s="6"/>
      <c r="E395" s="7" t="str">
        <f aca="false">IF(D395="","",IFERROR(INDEX(Товары!$B$2:$B$200,MATCH(D395,Товары!$A$2:$A$200,0)),"нет в справочнике"))</f>
        <v/>
      </c>
      <c r="F395" s="6"/>
      <c r="G395" s="8" t="str">
        <f aca="false">IF(D395="","",IFERROR(INDEX(Товары!$C$2:$C$200,MATCH(D395,Товары!$A$2:$A$200,0)),0))</f>
        <v/>
      </c>
      <c r="H395" s="8" t="str">
        <f aca="false">IF(D395="","",F395*G395)</f>
        <v/>
      </c>
      <c r="I395" s="8" t="str">
        <f aca="false">IF(D395="","",F395*IFERROR(INDEX(Товары!$D$2:$D$200,MATCH(D395,Товары!$A$2:$A$200,0)),0))</f>
        <v/>
      </c>
      <c r="J395" s="8" t="str">
        <f aca="false">IF(D395="","",H395-I395)</f>
        <v/>
      </c>
      <c r="K395" s="7" t="str">
        <f aca="false">IF(A395="","",MONTH(A395))</f>
        <v/>
      </c>
      <c r="L395" s="7" t="str">
        <f aca="false">IF(A395="","",YEAR(A395))</f>
        <v/>
      </c>
      <c r="M395" s="9" t="str">
        <f aca="false">IF(B395="","",B395&amp;"|"&amp;COUNTIF(B$2:B395,B395))</f>
        <v/>
      </c>
    </row>
    <row r="396" customFormat="false" ht="15" hidden="false" customHeight="false" outlineLevel="0" collapsed="false">
      <c r="A396" s="5"/>
      <c r="B396" s="6"/>
      <c r="C396" s="6"/>
      <c r="D396" s="6"/>
      <c r="E396" s="7" t="str">
        <f aca="false">IF(D396="","",IFERROR(INDEX(Товары!$B$2:$B$200,MATCH(D396,Товары!$A$2:$A$200,0)),"нет в справочнике"))</f>
        <v/>
      </c>
      <c r="F396" s="6"/>
      <c r="G396" s="8" t="str">
        <f aca="false">IF(D396="","",IFERROR(INDEX(Товары!$C$2:$C$200,MATCH(D396,Товары!$A$2:$A$200,0)),0))</f>
        <v/>
      </c>
      <c r="H396" s="8" t="str">
        <f aca="false">IF(D396="","",F396*G396)</f>
        <v/>
      </c>
      <c r="I396" s="8" t="str">
        <f aca="false">IF(D396="","",F396*IFERROR(INDEX(Товары!$D$2:$D$200,MATCH(D396,Товары!$A$2:$A$200,0)),0))</f>
        <v/>
      </c>
      <c r="J396" s="8" t="str">
        <f aca="false">IF(D396="","",H396-I396)</f>
        <v/>
      </c>
      <c r="K396" s="7" t="str">
        <f aca="false">IF(A396="","",MONTH(A396))</f>
        <v/>
      </c>
      <c r="L396" s="7" t="str">
        <f aca="false">IF(A396="","",YEAR(A396))</f>
        <v/>
      </c>
      <c r="M396" s="9" t="str">
        <f aca="false">IF(B396="","",B396&amp;"|"&amp;COUNTIF(B$2:B396,B396))</f>
        <v/>
      </c>
    </row>
    <row r="397" customFormat="false" ht="15" hidden="false" customHeight="false" outlineLevel="0" collapsed="false">
      <c r="A397" s="5"/>
      <c r="B397" s="6"/>
      <c r="C397" s="6"/>
      <c r="D397" s="6"/>
      <c r="E397" s="7" t="str">
        <f aca="false">IF(D397="","",IFERROR(INDEX(Товары!$B$2:$B$200,MATCH(D397,Товары!$A$2:$A$200,0)),"нет в справочнике"))</f>
        <v/>
      </c>
      <c r="F397" s="6"/>
      <c r="G397" s="8" t="str">
        <f aca="false">IF(D397="","",IFERROR(INDEX(Товары!$C$2:$C$200,MATCH(D397,Товары!$A$2:$A$200,0)),0))</f>
        <v/>
      </c>
      <c r="H397" s="8" t="str">
        <f aca="false">IF(D397="","",F397*G397)</f>
        <v/>
      </c>
      <c r="I397" s="8" t="str">
        <f aca="false">IF(D397="","",F397*IFERROR(INDEX(Товары!$D$2:$D$200,MATCH(D397,Товары!$A$2:$A$200,0)),0))</f>
        <v/>
      </c>
      <c r="J397" s="8" t="str">
        <f aca="false">IF(D397="","",H397-I397)</f>
        <v/>
      </c>
      <c r="K397" s="7" t="str">
        <f aca="false">IF(A397="","",MONTH(A397))</f>
        <v/>
      </c>
      <c r="L397" s="7" t="str">
        <f aca="false">IF(A397="","",YEAR(A397))</f>
        <v/>
      </c>
      <c r="M397" s="9" t="str">
        <f aca="false">IF(B397="","",B397&amp;"|"&amp;COUNTIF(B$2:B397,B397))</f>
        <v/>
      </c>
    </row>
    <row r="398" customFormat="false" ht="15" hidden="false" customHeight="false" outlineLevel="0" collapsed="false">
      <c r="A398" s="5"/>
      <c r="B398" s="6"/>
      <c r="C398" s="6"/>
      <c r="D398" s="6"/>
      <c r="E398" s="7" t="str">
        <f aca="false">IF(D398="","",IFERROR(INDEX(Товары!$B$2:$B$200,MATCH(D398,Товары!$A$2:$A$200,0)),"нет в справочнике"))</f>
        <v/>
      </c>
      <c r="F398" s="6"/>
      <c r="G398" s="8" t="str">
        <f aca="false">IF(D398="","",IFERROR(INDEX(Товары!$C$2:$C$200,MATCH(D398,Товары!$A$2:$A$200,0)),0))</f>
        <v/>
      </c>
      <c r="H398" s="8" t="str">
        <f aca="false">IF(D398="","",F398*G398)</f>
        <v/>
      </c>
      <c r="I398" s="8" t="str">
        <f aca="false">IF(D398="","",F398*IFERROR(INDEX(Товары!$D$2:$D$200,MATCH(D398,Товары!$A$2:$A$200,0)),0))</f>
        <v/>
      </c>
      <c r="J398" s="8" t="str">
        <f aca="false">IF(D398="","",H398-I398)</f>
        <v/>
      </c>
      <c r="K398" s="7" t="str">
        <f aca="false">IF(A398="","",MONTH(A398))</f>
        <v/>
      </c>
      <c r="L398" s="7" t="str">
        <f aca="false">IF(A398="","",YEAR(A398))</f>
        <v/>
      </c>
      <c r="M398" s="9" t="str">
        <f aca="false">IF(B398="","",B398&amp;"|"&amp;COUNTIF(B$2:B398,B398))</f>
        <v/>
      </c>
    </row>
    <row r="399" customFormat="false" ht="15" hidden="false" customHeight="false" outlineLevel="0" collapsed="false">
      <c r="A399" s="5"/>
      <c r="B399" s="6"/>
      <c r="C399" s="6"/>
      <c r="D399" s="6"/>
      <c r="E399" s="7" t="str">
        <f aca="false">IF(D399="","",IFERROR(INDEX(Товары!$B$2:$B$200,MATCH(D399,Товары!$A$2:$A$200,0)),"нет в справочнике"))</f>
        <v/>
      </c>
      <c r="F399" s="6"/>
      <c r="G399" s="8" t="str">
        <f aca="false">IF(D399="","",IFERROR(INDEX(Товары!$C$2:$C$200,MATCH(D399,Товары!$A$2:$A$200,0)),0))</f>
        <v/>
      </c>
      <c r="H399" s="8" t="str">
        <f aca="false">IF(D399="","",F399*G399)</f>
        <v/>
      </c>
      <c r="I399" s="8" t="str">
        <f aca="false">IF(D399="","",F399*IFERROR(INDEX(Товары!$D$2:$D$200,MATCH(D399,Товары!$A$2:$A$200,0)),0))</f>
        <v/>
      </c>
      <c r="J399" s="8" t="str">
        <f aca="false">IF(D399="","",H399-I399)</f>
        <v/>
      </c>
      <c r="K399" s="7" t="str">
        <f aca="false">IF(A399="","",MONTH(A399))</f>
        <v/>
      </c>
      <c r="L399" s="7" t="str">
        <f aca="false">IF(A399="","",YEAR(A399))</f>
        <v/>
      </c>
      <c r="M399" s="9" t="str">
        <f aca="false">IF(B399="","",B399&amp;"|"&amp;COUNTIF(B$2:B399,B399))</f>
        <v/>
      </c>
    </row>
    <row r="400" customFormat="false" ht="15" hidden="false" customHeight="false" outlineLevel="0" collapsed="false">
      <c r="A400" s="5"/>
      <c r="B400" s="6"/>
      <c r="C400" s="6"/>
      <c r="D400" s="6"/>
      <c r="E400" s="7" t="str">
        <f aca="false">IF(D400="","",IFERROR(INDEX(Товары!$B$2:$B$200,MATCH(D400,Товары!$A$2:$A$200,0)),"нет в справочнике"))</f>
        <v/>
      </c>
      <c r="F400" s="6"/>
      <c r="G400" s="8" t="str">
        <f aca="false">IF(D400="","",IFERROR(INDEX(Товары!$C$2:$C$200,MATCH(D400,Товары!$A$2:$A$200,0)),0))</f>
        <v/>
      </c>
      <c r="H400" s="8" t="str">
        <f aca="false">IF(D400="","",F400*G400)</f>
        <v/>
      </c>
      <c r="I400" s="8" t="str">
        <f aca="false">IF(D400="","",F400*IFERROR(INDEX(Товары!$D$2:$D$200,MATCH(D400,Товары!$A$2:$A$200,0)),0))</f>
        <v/>
      </c>
      <c r="J400" s="8" t="str">
        <f aca="false">IF(D400="","",H400-I400)</f>
        <v/>
      </c>
      <c r="K400" s="7" t="str">
        <f aca="false">IF(A400="","",MONTH(A400))</f>
        <v/>
      </c>
      <c r="L400" s="7" t="str">
        <f aca="false">IF(A400="","",YEAR(A400))</f>
        <v/>
      </c>
      <c r="M400" s="9" t="str">
        <f aca="false">IF(B400="","",B400&amp;"|"&amp;COUNTIF(B$2:B400,B400))</f>
        <v/>
      </c>
    </row>
    <row r="401" customFormat="false" ht="15" hidden="false" customHeight="false" outlineLevel="0" collapsed="false">
      <c r="A401" s="5"/>
      <c r="B401" s="6"/>
      <c r="C401" s="6"/>
      <c r="D401" s="6"/>
      <c r="E401" s="7" t="str">
        <f aca="false">IF(D401="","",IFERROR(INDEX(Товары!$B$2:$B$200,MATCH(D401,Товары!$A$2:$A$200,0)),"нет в справочнике"))</f>
        <v/>
      </c>
      <c r="F401" s="6"/>
      <c r="G401" s="8" t="str">
        <f aca="false">IF(D401="","",IFERROR(INDEX(Товары!$C$2:$C$200,MATCH(D401,Товары!$A$2:$A$200,0)),0))</f>
        <v/>
      </c>
      <c r="H401" s="8" t="str">
        <f aca="false">IF(D401="","",F401*G401)</f>
        <v/>
      </c>
      <c r="I401" s="8" t="str">
        <f aca="false">IF(D401="","",F401*IFERROR(INDEX(Товары!$D$2:$D$200,MATCH(D401,Товары!$A$2:$A$200,0)),0))</f>
        <v/>
      </c>
      <c r="J401" s="8" t="str">
        <f aca="false">IF(D401="","",H401-I401)</f>
        <v/>
      </c>
      <c r="K401" s="7" t="str">
        <f aca="false">IF(A401="","",MONTH(A401))</f>
        <v/>
      </c>
      <c r="L401" s="7" t="str">
        <f aca="false">IF(A401="","",YEAR(A401))</f>
        <v/>
      </c>
      <c r="M401" s="9" t="str">
        <f aca="false">IF(B401="","",B401&amp;"|"&amp;COUNTIF(B$2:B401,B401))</f>
        <v/>
      </c>
    </row>
    <row r="402" customFormat="false" ht="15" hidden="false" customHeight="false" outlineLevel="0" collapsed="false">
      <c r="A402" s="5"/>
      <c r="B402" s="6"/>
      <c r="C402" s="6"/>
      <c r="D402" s="6"/>
      <c r="E402" s="7" t="str">
        <f aca="false">IF(D402="","",IFERROR(INDEX(Товары!$B$2:$B$200,MATCH(D402,Товары!$A$2:$A$200,0)),"нет в справочнике"))</f>
        <v/>
      </c>
      <c r="F402" s="6"/>
      <c r="G402" s="8" t="str">
        <f aca="false">IF(D402="","",IFERROR(INDEX(Товары!$C$2:$C$200,MATCH(D402,Товары!$A$2:$A$200,0)),0))</f>
        <v/>
      </c>
      <c r="H402" s="8" t="str">
        <f aca="false">IF(D402="","",F402*G402)</f>
        <v/>
      </c>
      <c r="I402" s="8" t="str">
        <f aca="false">IF(D402="","",F402*IFERROR(INDEX(Товары!$D$2:$D$200,MATCH(D402,Товары!$A$2:$A$200,0)),0))</f>
        <v/>
      </c>
      <c r="J402" s="8" t="str">
        <f aca="false">IF(D402="","",H402-I402)</f>
        <v/>
      </c>
      <c r="K402" s="7" t="str">
        <f aca="false">IF(A402="","",MONTH(A402))</f>
        <v/>
      </c>
      <c r="L402" s="7" t="str">
        <f aca="false">IF(A402="","",YEAR(A402))</f>
        <v/>
      </c>
      <c r="M402" s="9" t="str">
        <f aca="false">IF(B402="","",B402&amp;"|"&amp;COUNTIF(B$2:B402,B402))</f>
        <v/>
      </c>
    </row>
    <row r="403" customFormat="false" ht="15" hidden="false" customHeight="false" outlineLevel="0" collapsed="false">
      <c r="A403" s="5"/>
      <c r="B403" s="6"/>
      <c r="C403" s="6"/>
      <c r="D403" s="6"/>
      <c r="E403" s="7" t="str">
        <f aca="false">IF(D403="","",IFERROR(INDEX(Товары!$B$2:$B$200,MATCH(D403,Товары!$A$2:$A$200,0)),"нет в справочнике"))</f>
        <v/>
      </c>
      <c r="F403" s="6"/>
      <c r="G403" s="8" t="str">
        <f aca="false">IF(D403="","",IFERROR(INDEX(Товары!$C$2:$C$200,MATCH(D403,Товары!$A$2:$A$200,0)),0))</f>
        <v/>
      </c>
      <c r="H403" s="8" t="str">
        <f aca="false">IF(D403="","",F403*G403)</f>
        <v/>
      </c>
      <c r="I403" s="8" t="str">
        <f aca="false">IF(D403="","",F403*IFERROR(INDEX(Товары!$D$2:$D$200,MATCH(D403,Товары!$A$2:$A$200,0)),0))</f>
        <v/>
      </c>
      <c r="J403" s="8" t="str">
        <f aca="false">IF(D403="","",H403-I403)</f>
        <v/>
      </c>
      <c r="K403" s="7" t="str">
        <f aca="false">IF(A403="","",MONTH(A403))</f>
        <v/>
      </c>
      <c r="L403" s="7" t="str">
        <f aca="false">IF(A403="","",YEAR(A403))</f>
        <v/>
      </c>
      <c r="M403" s="9" t="str">
        <f aca="false">IF(B403="","",B403&amp;"|"&amp;COUNTIF(B$2:B403,B403))</f>
        <v/>
      </c>
    </row>
    <row r="404" customFormat="false" ht="15" hidden="false" customHeight="false" outlineLevel="0" collapsed="false">
      <c r="A404" s="5"/>
      <c r="B404" s="6"/>
      <c r="C404" s="6"/>
      <c r="D404" s="6"/>
      <c r="E404" s="7" t="str">
        <f aca="false">IF(D404="","",IFERROR(INDEX(Товары!$B$2:$B$200,MATCH(D404,Товары!$A$2:$A$200,0)),"нет в справочнике"))</f>
        <v/>
      </c>
      <c r="F404" s="6"/>
      <c r="G404" s="8" t="str">
        <f aca="false">IF(D404="","",IFERROR(INDEX(Товары!$C$2:$C$200,MATCH(D404,Товары!$A$2:$A$200,0)),0))</f>
        <v/>
      </c>
      <c r="H404" s="8" t="str">
        <f aca="false">IF(D404="","",F404*G404)</f>
        <v/>
      </c>
      <c r="I404" s="8" t="str">
        <f aca="false">IF(D404="","",F404*IFERROR(INDEX(Товары!$D$2:$D$200,MATCH(D404,Товары!$A$2:$A$200,0)),0))</f>
        <v/>
      </c>
      <c r="J404" s="8" t="str">
        <f aca="false">IF(D404="","",H404-I404)</f>
        <v/>
      </c>
      <c r="K404" s="7" t="str">
        <f aca="false">IF(A404="","",MONTH(A404))</f>
        <v/>
      </c>
      <c r="L404" s="7" t="str">
        <f aca="false">IF(A404="","",YEAR(A404))</f>
        <v/>
      </c>
      <c r="M404" s="9" t="str">
        <f aca="false">IF(B404="","",B404&amp;"|"&amp;COUNTIF(B$2:B404,B404))</f>
        <v/>
      </c>
    </row>
    <row r="405" customFormat="false" ht="15" hidden="false" customHeight="false" outlineLevel="0" collapsed="false">
      <c r="A405" s="5"/>
      <c r="B405" s="6"/>
      <c r="C405" s="6"/>
      <c r="D405" s="6"/>
      <c r="E405" s="7" t="str">
        <f aca="false">IF(D405="","",IFERROR(INDEX(Товары!$B$2:$B$200,MATCH(D405,Товары!$A$2:$A$200,0)),"нет в справочнике"))</f>
        <v/>
      </c>
      <c r="F405" s="6"/>
      <c r="G405" s="8" t="str">
        <f aca="false">IF(D405="","",IFERROR(INDEX(Товары!$C$2:$C$200,MATCH(D405,Товары!$A$2:$A$200,0)),0))</f>
        <v/>
      </c>
      <c r="H405" s="8" t="str">
        <f aca="false">IF(D405="","",F405*G405)</f>
        <v/>
      </c>
      <c r="I405" s="8" t="str">
        <f aca="false">IF(D405="","",F405*IFERROR(INDEX(Товары!$D$2:$D$200,MATCH(D405,Товары!$A$2:$A$200,0)),0))</f>
        <v/>
      </c>
      <c r="J405" s="8" t="str">
        <f aca="false">IF(D405="","",H405-I405)</f>
        <v/>
      </c>
      <c r="K405" s="7" t="str">
        <f aca="false">IF(A405="","",MONTH(A405))</f>
        <v/>
      </c>
      <c r="L405" s="7" t="str">
        <f aca="false">IF(A405="","",YEAR(A405))</f>
        <v/>
      </c>
      <c r="M405" s="9" t="str">
        <f aca="false">IF(B405="","",B405&amp;"|"&amp;COUNTIF(B$2:B405,B405))</f>
        <v/>
      </c>
    </row>
    <row r="406" customFormat="false" ht="15" hidden="false" customHeight="false" outlineLevel="0" collapsed="false">
      <c r="A406" s="5"/>
      <c r="B406" s="6"/>
      <c r="C406" s="6"/>
      <c r="D406" s="6"/>
      <c r="E406" s="7" t="str">
        <f aca="false">IF(D406="","",IFERROR(INDEX(Товары!$B$2:$B$200,MATCH(D406,Товары!$A$2:$A$200,0)),"нет в справочнике"))</f>
        <v/>
      </c>
      <c r="F406" s="6"/>
      <c r="G406" s="8" t="str">
        <f aca="false">IF(D406="","",IFERROR(INDEX(Товары!$C$2:$C$200,MATCH(D406,Товары!$A$2:$A$200,0)),0))</f>
        <v/>
      </c>
      <c r="H406" s="8" t="str">
        <f aca="false">IF(D406="","",F406*G406)</f>
        <v/>
      </c>
      <c r="I406" s="8" t="str">
        <f aca="false">IF(D406="","",F406*IFERROR(INDEX(Товары!$D$2:$D$200,MATCH(D406,Товары!$A$2:$A$200,0)),0))</f>
        <v/>
      </c>
      <c r="J406" s="8" t="str">
        <f aca="false">IF(D406="","",H406-I406)</f>
        <v/>
      </c>
      <c r="K406" s="7" t="str">
        <f aca="false">IF(A406="","",MONTH(A406))</f>
        <v/>
      </c>
      <c r="L406" s="7" t="str">
        <f aca="false">IF(A406="","",YEAR(A406))</f>
        <v/>
      </c>
      <c r="M406" s="9" t="str">
        <f aca="false">IF(B406="","",B406&amp;"|"&amp;COUNTIF(B$2:B406,B406))</f>
        <v/>
      </c>
    </row>
    <row r="407" customFormat="false" ht="15" hidden="false" customHeight="false" outlineLevel="0" collapsed="false">
      <c r="A407" s="5"/>
      <c r="B407" s="6"/>
      <c r="C407" s="6"/>
      <c r="D407" s="6"/>
      <c r="E407" s="7" t="str">
        <f aca="false">IF(D407="","",IFERROR(INDEX(Товары!$B$2:$B$200,MATCH(D407,Товары!$A$2:$A$200,0)),"нет в справочнике"))</f>
        <v/>
      </c>
      <c r="F407" s="6"/>
      <c r="G407" s="8" t="str">
        <f aca="false">IF(D407="","",IFERROR(INDEX(Товары!$C$2:$C$200,MATCH(D407,Товары!$A$2:$A$200,0)),0))</f>
        <v/>
      </c>
      <c r="H407" s="8" t="str">
        <f aca="false">IF(D407="","",F407*G407)</f>
        <v/>
      </c>
      <c r="I407" s="8" t="str">
        <f aca="false">IF(D407="","",F407*IFERROR(INDEX(Товары!$D$2:$D$200,MATCH(D407,Товары!$A$2:$A$200,0)),0))</f>
        <v/>
      </c>
      <c r="J407" s="8" t="str">
        <f aca="false">IF(D407="","",H407-I407)</f>
        <v/>
      </c>
      <c r="K407" s="7" t="str">
        <f aca="false">IF(A407="","",MONTH(A407))</f>
        <v/>
      </c>
      <c r="L407" s="7" t="str">
        <f aca="false">IF(A407="","",YEAR(A407))</f>
        <v/>
      </c>
      <c r="M407" s="9" t="str">
        <f aca="false">IF(B407="","",B407&amp;"|"&amp;COUNTIF(B$2:B407,B407))</f>
        <v/>
      </c>
    </row>
    <row r="408" customFormat="false" ht="15" hidden="false" customHeight="false" outlineLevel="0" collapsed="false">
      <c r="A408" s="5"/>
      <c r="B408" s="6"/>
      <c r="C408" s="6"/>
      <c r="D408" s="6"/>
      <c r="E408" s="7" t="str">
        <f aca="false">IF(D408="","",IFERROR(INDEX(Товары!$B$2:$B$200,MATCH(D408,Товары!$A$2:$A$200,0)),"нет в справочнике"))</f>
        <v/>
      </c>
      <c r="F408" s="6"/>
      <c r="G408" s="8" t="str">
        <f aca="false">IF(D408="","",IFERROR(INDEX(Товары!$C$2:$C$200,MATCH(D408,Товары!$A$2:$A$200,0)),0))</f>
        <v/>
      </c>
      <c r="H408" s="8" t="str">
        <f aca="false">IF(D408="","",F408*G408)</f>
        <v/>
      </c>
      <c r="I408" s="8" t="str">
        <f aca="false">IF(D408="","",F408*IFERROR(INDEX(Товары!$D$2:$D$200,MATCH(D408,Товары!$A$2:$A$200,0)),0))</f>
        <v/>
      </c>
      <c r="J408" s="8" t="str">
        <f aca="false">IF(D408="","",H408-I408)</f>
        <v/>
      </c>
      <c r="K408" s="7" t="str">
        <f aca="false">IF(A408="","",MONTH(A408))</f>
        <v/>
      </c>
      <c r="L408" s="7" t="str">
        <f aca="false">IF(A408="","",YEAR(A408))</f>
        <v/>
      </c>
      <c r="M408" s="9" t="str">
        <f aca="false">IF(B408="","",B408&amp;"|"&amp;COUNTIF(B$2:B408,B408))</f>
        <v/>
      </c>
    </row>
    <row r="409" customFormat="false" ht="15" hidden="false" customHeight="false" outlineLevel="0" collapsed="false">
      <c r="A409" s="5"/>
      <c r="B409" s="6"/>
      <c r="C409" s="6"/>
      <c r="D409" s="6"/>
      <c r="E409" s="7" t="str">
        <f aca="false">IF(D409="","",IFERROR(INDEX(Товары!$B$2:$B$200,MATCH(D409,Товары!$A$2:$A$200,0)),"нет в справочнике"))</f>
        <v/>
      </c>
      <c r="F409" s="6"/>
      <c r="G409" s="8" t="str">
        <f aca="false">IF(D409="","",IFERROR(INDEX(Товары!$C$2:$C$200,MATCH(D409,Товары!$A$2:$A$200,0)),0))</f>
        <v/>
      </c>
      <c r="H409" s="8" t="str">
        <f aca="false">IF(D409="","",F409*G409)</f>
        <v/>
      </c>
      <c r="I409" s="8" t="str">
        <f aca="false">IF(D409="","",F409*IFERROR(INDEX(Товары!$D$2:$D$200,MATCH(D409,Товары!$A$2:$A$200,0)),0))</f>
        <v/>
      </c>
      <c r="J409" s="8" t="str">
        <f aca="false">IF(D409="","",H409-I409)</f>
        <v/>
      </c>
      <c r="K409" s="7" t="str">
        <f aca="false">IF(A409="","",MONTH(A409))</f>
        <v/>
      </c>
      <c r="L409" s="7" t="str">
        <f aca="false">IF(A409="","",YEAR(A409))</f>
        <v/>
      </c>
      <c r="M409" s="9" t="str">
        <f aca="false">IF(B409="","",B409&amp;"|"&amp;COUNTIF(B$2:B409,B409))</f>
        <v/>
      </c>
    </row>
    <row r="410" customFormat="false" ht="15" hidden="false" customHeight="false" outlineLevel="0" collapsed="false">
      <c r="A410" s="5"/>
      <c r="B410" s="6"/>
      <c r="C410" s="6"/>
      <c r="D410" s="6"/>
      <c r="E410" s="7" t="str">
        <f aca="false">IF(D410="","",IFERROR(INDEX(Товары!$B$2:$B$200,MATCH(D410,Товары!$A$2:$A$200,0)),"нет в справочнике"))</f>
        <v/>
      </c>
      <c r="F410" s="6"/>
      <c r="G410" s="8" t="str">
        <f aca="false">IF(D410="","",IFERROR(INDEX(Товары!$C$2:$C$200,MATCH(D410,Товары!$A$2:$A$200,0)),0))</f>
        <v/>
      </c>
      <c r="H410" s="8" t="str">
        <f aca="false">IF(D410="","",F410*G410)</f>
        <v/>
      </c>
      <c r="I410" s="8" t="str">
        <f aca="false">IF(D410="","",F410*IFERROR(INDEX(Товары!$D$2:$D$200,MATCH(D410,Товары!$A$2:$A$200,0)),0))</f>
        <v/>
      </c>
      <c r="J410" s="8" t="str">
        <f aca="false">IF(D410="","",H410-I410)</f>
        <v/>
      </c>
      <c r="K410" s="7" t="str">
        <f aca="false">IF(A410="","",MONTH(A410))</f>
        <v/>
      </c>
      <c r="L410" s="7" t="str">
        <f aca="false">IF(A410="","",YEAR(A410))</f>
        <v/>
      </c>
      <c r="M410" s="9" t="str">
        <f aca="false">IF(B410="","",B410&amp;"|"&amp;COUNTIF(B$2:B410,B410))</f>
        <v/>
      </c>
    </row>
    <row r="411" customFormat="false" ht="15" hidden="false" customHeight="false" outlineLevel="0" collapsed="false">
      <c r="A411" s="5"/>
      <c r="B411" s="6"/>
      <c r="C411" s="6"/>
      <c r="D411" s="6"/>
      <c r="E411" s="7" t="str">
        <f aca="false">IF(D411="","",IFERROR(INDEX(Товары!$B$2:$B$200,MATCH(D411,Товары!$A$2:$A$200,0)),"нет в справочнике"))</f>
        <v/>
      </c>
      <c r="F411" s="6"/>
      <c r="G411" s="8" t="str">
        <f aca="false">IF(D411="","",IFERROR(INDEX(Товары!$C$2:$C$200,MATCH(D411,Товары!$A$2:$A$200,0)),0))</f>
        <v/>
      </c>
      <c r="H411" s="8" t="str">
        <f aca="false">IF(D411="","",F411*G411)</f>
        <v/>
      </c>
      <c r="I411" s="8" t="str">
        <f aca="false">IF(D411="","",F411*IFERROR(INDEX(Товары!$D$2:$D$200,MATCH(D411,Товары!$A$2:$A$200,0)),0))</f>
        <v/>
      </c>
      <c r="J411" s="8" t="str">
        <f aca="false">IF(D411="","",H411-I411)</f>
        <v/>
      </c>
      <c r="K411" s="7" t="str">
        <f aca="false">IF(A411="","",MONTH(A411))</f>
        <v/>
      </c>
      <c r="L411" s="7" t="str">
        <f aca="false">IF(A411="","",YEAR(A411))</f>
        <v/>
      </c>
      <c r="M411" s="9" t="str">
        <f aca="false">IF(B411="","",B411&amp;"|"&amp;COUNTIF(B$2:B411,B411))</f>
        <v/>
      </c>
    </row>
    <row r="412" customFormat="false" ht="15" hidden="false" customHeight="false" outlineLevel="0" collapsed="false">
      <c r="A412" s="5"/>
      <c r="B412" s="6"/>
      <c r="C412" s="6"/>
      <c r="D412" s="6"/>
      <c r="E412" s="7" t="str">
        <f aca="false">IF(D412="","",IFERROR(INDEX(Товары!$B$2:$B$200,MATCH(D412,Товары!$A$2:$A$200,0)),"нет в справочнике"))</f>
        <v/>
      </c>
      <c r="F412" s="6"/>
      <c r="G412" s="8" t="str">
        <f aca="false">IF(D412="","",IFERROR(INDEX(Товары!$C$2:$C$200,MATCH(D412,Товары!$A$2:$A$200,0)),0))</f>
        <v/>
      </c>
      <c r="H412" s="8" t="str">
        <f aca="false">IF(D412="","",F412*G412)</f>
        <v/>
      </c>
      <c r="I412" s="8" t="str">
        <f aca="false">IF(D412="","",F412*IFERROR(INDEX(Товары!$D$2:$D$200,MATCH(D412,Товары!$A$2:$A$200,0)),0))</f>
        <v/>
      </c>
      <c r="J412" s="8" t="str">
        <f aca="false">IF(D412="","",H412-I412)</f>
        <v/>
      </c>
      <c r="K412" s="7" t="str">
        <f aca="false">IF(A412="","",MONTH(A412))</f>
        <v/>
      </c>
      <c r="L412" s="7" t="str">
        <f aca="false">IF(A412="","",YEAR(A412))</f>
        <v/>
      </c>
      <c r="M412" s="9" t="str">
        <f aca="false">IF(B412="","",B412&amp;"|"&amp;COUNTIF(B$2:B412,B412))</f>
        <v/>
      </c>
    </row>
    <row r="413" customFormat="false" ht="15" hidden="false" customHeight="false" outlineLevel="0" collapsed="false">
      <c r="A413" s="5"/>
      <c r="B413" s="6"/>
      <c r="C413" s="6"/>
      <c r="D413" s="6"/>
      <c r="E413" s="7" t="str">
        <f aca="false">IF(D413="","",IFERROR(INDEX(Товары!$B$2:$B$200,MATCH(D413,Товары!$A$2:$A$200,0)),"нет в справочнике"))</f>
        <v/>
      </c>
      <c r="F413" s="6"/>
      <c r="G413" s="8" t="str">
        <f aca="false">IF(D413="","",IFERROR(INDEX(Товары!$C$2:$C$200,MATCH(D413,Товары!$A$2:$A$200,0)),0))</f>
        <v/>
      </c>
      <c r="H413" s="8" t="str">
        <f aca="false">IF(D413="","",F413*G413)</f>
        <v/>
      </c>
      <c r="I413" s="8" t="str">
        <f aca="false">IF(D413="","",F413*IFERROR(INDEX(Товары!$D$2:$D$200,MATCH(D413,Товары!$A$2:$A$200,0)),0))</f>
        <v/>
      </c>
      <c r="J413" s="8" t="str">
        <f aca="false">IF(D413="","",H413-I413)</f>
        <v/>
      </c>
      <c r="K413" s="7" t="str">
        <f aca="false">IF(A413="","",MONTH(A413))</f>
        <v/>
      </c>
      <c r="L413" s="7" t="str">
        <f aca="false">IF(A413="","",YEAR(A413))</f>
        <v/>
      </c>
      <c r="M413" s="9" t="str">
        <f aca="false">IF(B413="","",B413&amp;"|"&amp;COUNTIF(B$2:B413,B413))</f>
        <v/>
      </c>
    </row>
    <row r="414" customFormat="false" ht="15" hidden="false" customHeight="false" outlineLevel="0" collapsed="false">
      <c r="A414" s="5"/>
      <c r="B414" s="6"/>
      <c r="C414" s="6"/>
      <c r="D414" s="6"/>
      <c r="E414" s="7" t="str">
        <f aca="false">IF(D414="","",IFERROR(INDEX(Товары!$B$2:$B$200,MATCH(D414,Товары!$A$2:$A$200,0)),"нет в справочнике"))</f>
        <v/>
      </c>
      <c r="F414" s="6"/>
      <c r="G414" s="8" t="str">
        <f aca="false">IF(D414="","",IFERROR(INDEX(Товары!$C$2:$C$200,MATCH(D414,Товары!$A$2:$A$200,0)),0))</f>
        <v/>
      </c>
      <c r="H414" s="8" t="str">
        <f aca="false">IF(D414="","",F414*G414)</f>
        <v/>
      </c>
      <c r="I414" s="8" t="str">
        <f aca="false">IF(D414="","",F414*IFERROR(INDEX(Товары!$D$2:$D$200,MATCH(D414,Товары!$A$2:$A$200,0)),0))</f>
        <v/>
      </c>
      <c r="J414" s="8" t="str">
        <f aca="false">IF(D414="","",H414-I414)</f>
        <v/>
      </c>
      <c r="K414" s="7" t="str">
        <f aca="false">IF(A414="","",MONTH(A414))</f>
        <v/>
      </c>
      <c r="L414" s="7" t="str">
        <f aca="false">IF(A414="","",YEAR(A414))</f>
        <v/>
      </c>
      <c r="M414" s="9" t="str">
        <f aca="false">IF(B414="","",B414&amp;"|"&amp;COUNTIF(B$2:B414,B414))</f>
        <v/>
      </c>
    </row>
    <row r="415" customFormat="false" ht="15" hidden="false" customHeight="false" outlineLevel="0" collapsed="false">
      <c r="A415" s="5"/>
      <c r="B415" s="6"/>
      <c r="C415" s="6"/>
      <c r="D415" s="6"/>
      <c r="E415" s="7" t="str">
        <f aca="false">IF(D415="","",IFERROR(INDEX(Товары!$B$2:$B$200,MATCH(D415,Товары!$A$2:$A$200,0)),"нет в справочнике"))</f>
        <v/>
      </c>
      <c r="F415" s="6"/>
      <c r="G415" s="8" t="str">
        <f aca="false">IF(D415="","",IFERROR(INDEX(Товары!$C$2:$C$200,MATCH(D415,Товары!$A$2:$A$200,0)),0))</f>
        <v/>
      </c>
      <c r="H415" s="8" t="str">
        <f aca="false">IF(D415="","",F415*G415)</f>
        <v/>
      </c>
      <c r="I415" s="8" t="str">
        <f aca="false">IF(D415="","",F415*IFERROR(INDEX(Товары!$D$2:$D$200,MATCH(D415,Товары!$A$2:$A$200,0)),0))</f>
        <v/>
      </c>
      <c r="J415" s="8" t="str">
        <f aca="false">IF(D415="","",H415-I415)</f>
        <v/>
      </c>
      <c r="K415" s="7" t="str">
        <f aca="false">IF(A415="","",MONTH(A415))</f>
        <v/>
      </c>
      <c r="L415" s="7" t="str">
        <f aca="false">IF(A415="","",YEAR(A415))</f>
        <v/>
      </c>
      <c r="M415" s="9" t="str">
        <f aca="false">IF(B415="","",B415&amp;"|"&amp;COUNTIF(B$2:B415,B415))</f>
        <v/>
      </c>
    </row>
    <row r="416" customFormat="false" ht="15" hidden="false" customHeight="false" outlineLevel="0" collapsed="false">
      <c r="A416" s="5"/>
      <c r="B416" s="6"/>
      <c r="C416" s="6"/>
      <c r="D416" s="6"/>
      <c r="E416" s="7" t="str">
        <f aca="false">IF(D416="","",IFERROR(INDEX(Товары!$B$2:$B$200,MATCH(D416,Товары!$A$2:$A$200,0)),"нет в справочнике"))</f>
        <v/>
      </c>
      <c r="F416" s="6"/>
      <c r="G416" s="8" t="str">
        <f aca="false">IF(D416="","",IFERROR(INDEX(Товары!$C$2:$C$200,MATCH(D416,Товары!$A$2:$A$200,0)),0))</f>
        <v/>
      </c>
      <c r="H416" s="8" t="str">
        <f aca="false">IF(D416="","",F416*G416)</f>
        <v/>
      </c>
      <c r="I416" s="8" t="str">
        <f aca="false">IF(D416="","",F416*IFERROR(INDEX(Товары!$D$2:$D$200,MATCH(D416,Товары!$A$2:$A$200,0)),0))</f>
        <v/>
      </c>
      <c r="J416" s="8" t="str">
        <f aca="false">IF(D416="","",H416-I416)</f>
        <v/>
      </c>
      <c r="K416" s="7" t="str">
        <f aca="false">IF(A416="","",MONTH(A416))</f>
        <v/>
      </c>
      <c r="L416" s="7" t="str">
        <f aca="false">IF(A416="","",YEAR(A416))</f>
        <v/>
      </c>
      <c r="M416" s="9" t="str">
        <f aca="false">IF(B416="","",B416&amp;"|"&amp;COUNTIF(B$2:B416,B416))</f>
        <v/>
      </c>
    </row>
    <row r="417" customFormat="false" ht="15" hidden="false" customHeight="false" outlineLevel="0" collapsed="false">
      <c r="A417" s="5"/>
      <c r="B417" s="6"/>
      <c r="C417" s="6"/>
      <c r="D417" s="6"/>
      <c r="E417" s="7" t="str">
        <f aca="false">IF(D417="","",IFERROR(INDEX(Товары!$B$2:$B$200,MATCH(D417,Товары!$A$2:$A$200,0)),"нет в справочнике"))</f>
        <v/>
      </c>
      <c r="F417" s="6"/>
      <c r="G417" s="8" t="str">
        <f aca="false">IF(D417="","",IFERROR(INDEX(Товары!$C$2:$C$200,MATCH(D417,Товары!$A$2:$A$200,0)),0))</f>
        <v/>
      </c>
      <c r="H417" s="8" t="str">
        <f aca="false">IF(D417="","",F417*G417)</f>
        <v/>
      </c>
      <c r="I417" s="8" t="str">
        <f aca="false">IF(D417="","",F417*IFERROR(INDEX(Товары!$D$2:$D$200,MATCH(D417,Товары!$A$2:$A$200,0)),0))</f>
        <v/>
      </c>
      <c r="J417" s="8" t="str">
        <f aca="false">IF(D417="","",H417-I417)</f>
        <v/>
      </c>
      <c r="K417" s="7" t="str">
        <f aca="false">IF(A417="","",MONTH(A417))</f>
        <v/>
      </c>
      <c r="L417" s="7" t="str">
        <f aca="false">IF(A417="","",YEAR(A417))</f>
        <v/>
      </c>
      <c r="M417" s="9" t="str">
        <f aca="false">IF(B417="","",B417&amp;"|"&amp;COUNTIF(B$2:B417,B417))</f>
        <v/>
      </c>
    </row>
    <row r="418" customFormat="false" ht="15" hidden="false" customHeight="false" outlineLevel="0" collapsed="false">
      <c r="A418" s="5"/>
      <c r="B418" s="6"/>
      <c r="C418" s="6"/>
      <c r="D418" s="6"/>
      <c r="E418" s="7" t="str">
        <f aca="false">IF(D418="","",IFERROR(INDEX(Товары!$B$2:$B$200,MATCH(D418,Товары!$A$2:$A$200,0)),"нет в справочнике"))</f>
        <v/>
      </c>
      <c r="F418" s="6"/>
      <c r="G418" s="8" t="str">
        <f aca="false">IF(D418="","",IFERROR(INDEX(Товары!$C$2:$C$200,MATCH(D418,Товары!$A$2:$A$200,0)),0))</f>
        <v/>
      </c>
      <c r="H418" s="8" t="str">
        <f aca="false">IF(D418="","",F418*G418)</f>
        <v/>
      </c>
      <c r="I418" s="8" t="str">
        <f aca="false">IF(D418="","",F418*IFERROR(INDEX(Товары!$D$2:$D$200,MATCH(D418,Товары!$A$2:$A$200,0)),0))</f>
        <v/>
      </c>
      <c r="J418" s="8" t="str">
        <f aca="false">IF(D418="","",H418-I418)</f>
        <v/>
      </c>
      <c r="K418" s="7" t="str">
        <f aca="false">IF(A418="","",MONTH(A418))</f>
        <v/>
      </c>
      <c r="L418" s="7" t="str">
        <f aca="false">IF(A418="","",YEAR(A418))</f>
        <v/>
      </c>
      <c r="M418" s="9" t="str">
        <f aca="false">IF(B418="","",B418&amp;"|"&amp;COUNTIF(B$2:B418,B418))</f>
        <v/>
      </c>
    </row>
    <row r="419" customFormat="false" ht="15" hidden="false" customHeight="false" outlineLevel="0" collapsed="false">
      <c r="A419" s="5"/>
      <c r="B419" s="6"/>
      <c r="C419" s="6"/>
      <c r="D419" s="6"/>
      <c r="E419" s="7" t="str">
        <f aca="false">IF(D419="","",IFERROR(INDEX(Товары!$B$2:$B$200,MATCH(D419,Товары!$A$2:$A$200,0)),"нет в справочнике"))</f>
        <v/>
      </c>
      <c r="F419" s="6"/>
      <c r="G419" s="8" t="str">
        <f aca="false">IF(D419="","",IFERROR(INDEX(Товары!$C$2:$C$200,MATCH(D419,Товары!$A$2:$A$200,0)),0))</f>
        <v/>
      </c>
      <c r="H419" s="8" t="str">
        <f aca="false">IF(D419="","",F419*G419)</f>
        <v/>
      </c>
      <c r="I419" s="8" t="str">
        <f aca="false">IF(D419="","",F419*IFERROR(INDEX(Товары!$D$2:$D$200,MATCH(D419,Товары!$A$2:$A$200,0)),0))</f>
        <v/>
      </c>
      <c r="J419" s="8" t="str">
        <f aca="false">IF(D419="","",H419-I419)</f>
        <v/>
      </c>
      <c r="K419" s="7" t="str">
        <f aca="false">IF(A419="","",MONTH(A419))</f>
        <v/>
      </c>
      <c r="L419" s="7" t="str">
        <f aca="false">IF(A419="","",YEAR(A419))</f>
        <v/>
      </c>
      <c r="M419" s="9" t="str">
        <f aca="false">IF(B419="","",B419&amp;"|"&amp;COUNTIF(B$2:B419,B419))</f>
        <v/>
      </c>
    </row>
    <row r="420" customFormat="false" ht="15" hidden="false" customHeight="false" outlineLevel="0" collapsed="false">
      <c r="A420" s="5"/>
      <c r="B420" s="6"/>
      <c r="C420" s="6"/>
      <c r="D420" s="6"/>
      <c r="E420" s="7" t="str">
        <f aca="false">IF(D420="","",IFERROR(INDEX(Товары!$B$2:$B$200,MATCH(D420,Товары!$A$2:$A$200,0)),"нет в справочнике"))</f>
        <v/>
      </c>
      <c r="F420" s="6"/>
      <c r="G420" s="8" t="str">
        <f aca="false">IF(D420="","",IFERROR(INDEX(Товары!$C$2:$C$200,MATCH(D420,Товары!$A$2:$A$200,0)),0))</f>
        <v/>
      </c>
      <c r="H420" s="8" t="str">
        <f aca="false">IF(D420="","",F420*G420)</f>
        <v/>
      </c>
      <c r="I420" s="8" t="str">
        <f aca="false">IF(D420="","",F420*IFERROR(INDEX(Товары!$D$2:$D$200,MATCH(D420,Товары!$A$2:$A$200,0)),0))</f>
        <v/>
      </c>
      <c r="J420" s="8" t="str">
        <f aca="false">IF(D420="","",H420-I420)</f>
        <v/>
      </c>
      <c r="K420" s="7" t="str">
        <f aca="false">IF(A420="","",MONTH(A420))</f>
        <v/>
      </c>
      <c r="L420" s="7" t="str">
        <f aca="false">IF(A420="","",YEAR(A420))</f>
        <v/>
      </c>
      <c r="M420" s="9" t="str">
        <f aca="false">IF(B420="","",B420&amp;"|"&amp;COUNTIF(B$2:B420,B420))</f>
        <v/>
      </c>
    </row>
    <row r="421" customFormat="false" ht="15" hidden="false" customHeight="false" outlineLevel="0" collapsed="false">
      <c r="A421" s="5"/>
      <c r="B421" s="6"/>
      <c r="C421" s="6"/>
      <c r="D421" s="6"/>
      <c r="E421" s="7" t="str">
        <f aca="false">IF(D421="","",IFERROR(INDEX(Товары!$B$2:$B$200,MATCH(D421,Товары!$A$2:$A$200,0)),"нет в справочнике"))</f>
        <v/>
      </c>
      <c r="F421" s="6"/>
      <c r="G421" s="8" t="str">
        <f aca="false">IF(D421="","",IFERROR(INDEX(Товары!$C$2:$C$200,MATCH(D421,Товары!$A$2:$A$200,0)),0))</f>
        <v/>
      </c>
      <c r="H421" s="8" t="str">
        <f aca="false">IF(D421="","",F421*G421)</f>
        <v/>
      </c>
      <c r="I421" s="8" t="str">
        <f aca="false">IF(D421="","",F421*IFERROR(INDEX(Товары!$D$2:$D$200,MATCH(D421,Товары!$A$2:$A$200,0)),0))</f>
        <v/>
      </c>
      <c r="J421" s="8" t="str">
        <f aca="false">IF(D421="","",H421-I421)</f>
        <v/>
      </c>
      <c r="K421" s="7" t="str">
        <f aca="false">IF(A421="","",MONTH(A421))</f>
        <v/>
      </c>
      <c r="L421" s="7" t="str">
        <f aca="false">IF(A421="","",YEAR(A421))</f>
        <v/>
      </c>
      <c r="M421" s="9" t="str">
        <f aca="false">IF(B421="","",B421&amp;"|"&amp;COUNTIF(B$2:B421,B421))</f>
        <v/>
      </c>
    </row>
    <row r="422" customFormat="false" ht="15" hidden="false" customHeight="false" outlineLevel="0" collapsed="false">
      <c r="A422" s="5"/>
      <c r="B422" s="6"/>
      <c r="C422" s="6"/>
      <c r="D422" s="6"/>
      <c r="E422" s="7" t="str">
        <f aca="false">IF(D422="","",IFERROR(INDEX(Товары!$B$2:$B$200,MATCH(D422,Товары!$A$2:$A$200,0)),"нет в справочнике"))</f>
        <v/>
      </c>
      <c r="F422" s="6"/>
      <c r="G422" s="8" t="str">
        <f aca="false">IF(D422="","",IFERROR(INDEX(Товары!$C$2:$C$200,MATCH(D422,Товары!$A$2:$A$200,0)),0))</f>
        <v/>
      </c>
      <c r="H422" s="8" t="str">
        <f aca="false">IF(D422="","",F422*G422)</f>
        <v/>
      </c>
      <c r="I422" s="8" t="str">
        <f aca="false">IF(D422="","",F422*IFERROR(INDEX(Товары!$D$2:$D$200,MATCH(D422,Товары!$A$2:$A$200,0)),0))</f>
        <v/>
      </c>
      <c r="J422" s="8" t="str">
        <f aca="false">IF(D422="","",H422-I422)</f>
        <v/>
      </c>
      <c r="K422" s="7" t="str">
        <f aca="false">IF(A422="","",MONTH(A422))</f>
        <v/>
      </c>
      <c r="L422" s="7" t="str">
        <f aca="false">IF(A422="","",YEAR(A422))</f>
        <v/>
      </c>
      <c r="M422" s="9" t="str">
        <f aca="false">IF(B422="","",B422&amp;"|"&amp;COUNTIF(B$2:B422,B422))</f>
        <v/>
      </c>
    </row>
    <row r="423" customFormat="false" ht="15" hidden="false" customHeight="false" outlineLevel="0" collapsed="false">
      <c r="A423" s="5"/>
      <c r="B423" s="6"/>
      <c r="C423" s="6"/>
      <c r="D423" s="6"/>
      <c r="E423" s="7" t="str">
        <f aca="false">IF(D423="","",IFERROR(INDEX(Товары!$B$2:$B$200,MATCH(D423,Товары!$A$2:$A$200,0)),"нет в справочнике"))</f>
        <v/>
      </c>
      <c r="F423" s="6"/>
      <c r="G423" s="8" t="str">
        <f aca="false">IF(D423="","",IFERROR(INDEX(Товары!$C$2:$C$200,MATCH(D423,Товары!$A$2:$A$200,0)),0))</f>
        <v/>
      </c>
      <c r="H423" s="8" t="str">
        <f aca="false">IF(D423="","",F423*G423)</f>
        <v/>
      </c>
      <c r="I423" s="8" t="str">
        <f aca="false">IF(D423="","",F423*IFERROR(INDEX(Товары!$D$2:$D$200,MATCH(D423,Товары!$A$2:$A$200,0)),0))</f>
        <v/>
      </c>
      <c r="J423" s="8" t="str">
        <f aca="false">IF(D423="","",H423-I423)</f>
        <v/>
      </c>
      <c r="K423" s="7" t="str">
        <f aca="false">IF(A423="","",MONTH(A423))</f>
        <v/>
      </c>
      <c r="L423" s="7" t="str">
        <f aca="false">IF(A423="","",YEAR(A423))</f>
        <v/>
      </c>
      <c r="M423" s="9" t="str">
        <f aca="false">IF(B423="","",B423&amp;"|"&amp;COUNTIF(B$2:B423,B423))</f>
        <v/>
      </c>
    </row>
    <row r="424" customFormat="false" ht="15" hidden="false" customHeight="false" outlineLevel="0" collapsed="false">
      <c r="A424" s="5"/>
      <c r="B424" s="6"/>
      <c r="C424" s="6"/>
      <c r="D424" s="6"/>
      <c r="E424" s="7" t="str">
        <f aca="false">IF(D424="","",IFERROR(INDEX(Товары!$B$2:$B$200,MATCH(D424,Товары!$A$2:$A$200,0)),"нет в справочнике"))</f>
        <v/>
      </c>
      <c r="F424" s="6"/>
      <c r="G424" s="8" t="str">
        <f aca="false">IF(D424="","",IFERROR(INDEX(Товары!$C$2:$C$200,MATCH(D424,Товары!$A$2:$A$200,0)),0))</f>
        <v/>
      </c>
      <c r="H424" s="8" t="str">
        <f aca="false">IF(D424="","",F424*G424)</f>
        <v/>
      </c>
      <c r="I424" s="8" t="str">
        <f aca="false">IF(D424="","",F424*IFERROR(INDEX(Товары!$D$2:$D$200,MATCH(D424,Товары!$A$2:$A$200,0)),0))</f>
        <v/>
      </c>
      <c r="J424" s="8" t="str">
        <f aca="false">IF(D424="","",H424-I424)</f>
        <v/>
      </c>
      <c r="K424" s="7" t="str">
        <f aca="false">IF(A424="","",MONTH(A424))</f>
        <v/>
      </c>
      <c r="L424" s="7" t="str">
        <f aca="false">IF(A424="","",YEAR(A424))</f>
        <v/>
      </c>
      <c r="M424" s="9" t="str">
        <f aca="false">IF(B424="","",B424&amp;"|"&amp;COUNTIF(B$2:B424,B424))</f>
        <v/>
      </c>
    </row>
    <row r="425" customFormat="false" ht="15" hidden="false" customHeight="false" outlineLevel="0" collapsed="false">
      <c r="A425" s="5"/>
      <c r="B425" s="6"/>
      <c r="C425" s="6"/>
      <c r="D425" s="6"/>
      <c r="E425" s="7" t="str">
        <f aca="false">IF(D425="","",IFERROR(INDEX(Товары!$B$2:$B$200,MATCH(D425,Товары!$A$2:$A$200,0)),"нет в справочнике"))</f>
        <v/>
      </c>
      <c r="F425" s="6"/>
      <c r="G425" s="8" t="str">
        <f aca="false">IF(D425="","",IFERROR(INDEX(Товары!$C$2:$C$200,MATCH(D425,Товары!$A$2:$A$200,0)),0))</f>
        <v/>
      </c>
      <c r="H425" s="8" t="str">
        <f aca="false">IF(D425="","",F425*G425)</f>
        <v/>
      </c>
      <c r="I425" s="8" t="str">
        <f aca="false">IF(D425="","",F425*IFERROR(INDEX(Товары!$D$2:$D$200,MATCH(D425,Товары!$A$2:$A$200,0)),0))</f>
        <v/>
      </c>
      <c r="J425" s="8" t="str">
        <f aca="false">IF(D425="","",H425-I425)</f>
        <v/>
      </c>
      <c r="K425" s="7" t="str">
        <f aca="false">IF(A425="","",MONTH(A425))</f>
        <v/>
      </c>
      <c r="L425" s="7" t="str">
        <f aca="false">IF(A425="","",YEAR(A425))</f>
        <v/>
      </c>
      <c r="M425" s="9" t="str">
        <f aca="false">IF(B425="","",B425&amp;"|"&amp;COUNTIF(B$2:B425,B425))</f>
        <v/>
      </c>
    </row>
    <row r="426" customFormat="false" ht="15" hidden="false" customHeight="false" outlineLevel="0" collapsed="false">
      <c r="A426" s="5"/>
      <c r="B426" s="6"/>
      <c r="C426" s="6"/>
      <c r="D426" s="6"/>
      <c r="E426" s="7" t="str">
        <f aca="false">IF(D426="","",IFERROR(INDEX(Товары!$B$2:$B$200,MATCH(D426,Товары!$A$2:$A$200,0)),"нет в справочнике"))</f>
        <v/>
      </c>
      <c r="F426" s="6"/>
      <c r="G426" s="8" t="str">
        <f aca="false">IF(D426="","",IFERROR(INDEX(Товары!$C$2:$C$200,MATCH(D426,Товары!$A$2:$A$200,0)),0))</f>
        <v/>
      </c>
      <c r="H426" s="8" t="str">
        <f aca="false">IF(D426="","",F426*G426)</f>
        <v/>
      </c>
      <c r="I426" s="8" t="str">
        <f aca="false">IF(D426="","",F426*IFERROR(INDEX(Товары!$D$2:$D$200,MATCH(D426,Товары!$A$2:$A$200,0)),0))</f>
        <v/>
      </c>
      <c r="J426" s="8" t="str">
        <f aca="false">IF(D426="","",H426-I426)</f>
        <v/>
      </c>
      <c r="K426" s="7" t="str">
        <f aca="false">IF(A426="","",MONTH(A426))</f>
        <v/>
      </c>
      <c r="L426" s="7" t="str">
        <f aca="false">IF(A426="","",YEAR(A426))</f>
        <v/>
      </c>
      <c r="M426" s="9" t="str">
        <f aca="false">IF(B426="","",B426&amp;"|"&amp;COUNTIF(B$2:B426,B426))</f>
        <v/>
      </c>
    </row>
    <row r="427" customFormat="false" ht="15" hidden="false" customHeight="false" outlineLevel="0" collapsed="false">
      <c r="A427" s="5"/>
      <c r="B427" s="6"/>
      <c r="C427" s="6"/>
      <c r="D427" s="6"/>
      <c r="E427" s="7" t="str">
        <f aca="false">IF(D427="","",IFERROR(INDEX(Товары!$B$2:$B$200,MATCH(D427,Товары!$A$2:$A$200,0)),"нет в справочнике"))</f>
        <v/>
      </c>
      <c r="F427" s="6"/>
      <c r="G427" s="8" t="str">
        <f aca="false">IF(D427="","",IFERROR(INDEX(Товары!$C$2:$C$200,MATCH(D427,Товары!$A$2:$A$200,0)),0))</f>
        <v/>
      </c>
      <c r="H427" s="8" t="str">
        <f aca="false">IF(D427="","",F427*G427)</f>
        <v/>
      </c>
      <c r="I427" s="8" t="str">
        <f aca="false">IF(D427="","",F427*IFERROR(INDEX(Товары!$D$2:$D$200,MATCH(D427,Товары!$A$2:$A$200,0)),0))</f>
        <v/>
      </c>
      <c r="J427" s="8" t="str">
        <f aca="false">IF(D427="","",H427-I427)</f>
        <v/>
      </c>
      <c r="K427" s="7" t="str">
        <f aca="false">IF(A427="","",MONTH(A427))</f>
        <v/>
      </c>
      <c r="L427" s="7" t="str">
        <f aca="false">IF(A427="","",YEAR(A427))</f>
        <v/>
      </c>
      <c r="M427" s="9" t="str">
        <f aca="false">IF(B427="","",B427&amp;"|"&amp;COUNTIF(B$2:B427,B427))</f>
        <v/>
      </c>
    </row>
    <row r="428" customFormat="false" ht="15" hidden="false" customHeight="false" outlineLevel="0" collapsed="false">
      <c r="A428" s="5"/>
      <c r="B428" s="6"/>
      <c r="C428" s="6"/>
      <c r="D428" s="6"/>
      <c r="E428" s="7" t="str">
        <f aca="false">IF(D428="","",IFERROR(INDEX(Товары!$B$2:$B$200,MATCH(D428,Товары!$A$2:$A$200,0)),"нет в справочнике"))</f>
        <v/>
      </c>
      <c r="F428" s="6"/>
      <c r="G428" s="8" t="str">
        <f aca="false">IF(D428="","",IFERROR(INDEX(Товары!$C$2:$C$200,MATCH(D428,Товары!$A$2:$A$200,0)),0))</f>
        <v/>
      </c>
      <c r="H428" s="8" t="str">
        <f aca="false">IF(D428="","",F428*G428)</f>
        <v/>
      </c>
      <c r="I428" s="8" t="str">
        <f aca="false">IF(D428="","",F428*IFERROR(INDEX(Товары!$D$2:$D$200,MATCH(D428,Товары!$A$2:$A$200,0)),0))</f>
        <v/>
      </c>
      <c r="J428" s="8" t="str">
        <f aca="false">IF(D428="","",H428-I428)</f>
        <v/>
      </c>
      <c r="K428" s="7" t="str">
        <f aca="false">IF(A428="","",MONTH(A428))</f>
        <v/>
      </c>
      <c r="L428" s="7" t="str">
        <f aca="false">IF(A428="","",YEAR(A428))</f>
        <v/>
      </c>
      <c r="M428" s="9" t="str">
        <f aca="false">IF(B428="","",B428&amp;"|"&amp;COUNTIF(B$2:B428,B428))</f>
        <v/>
      </c>
    </row>
    <row r="429" customFormat="false" ht="15" hidden="false" customHeight="false" outlineLevel="0" collapsed="false">
      <c r="A429" s="5"/>
      <c r="B429" s="6"/>
      <c r="C429" s="6"/>
      <c r="D429" s="6"/>
      <c r="E429" s="7" t="str">
        <f aca="false">IF(D429="","",IFERROR(INDEX(Товары!$B$2:$B$200,MATCH(D429,Товары!$A$2:$A$200,0)),"нет в справочнике"))</f>
        <v/>
      </c>
      <c r="F429" s="6"/>
      <c r="G429" s="8" t="str">
        <f aca="false">IF(D429="","",IFERROR(INDEX(Товары!$C$2:$C$200,MATCH(D429,Товары!$A$2:$A$200,0)),0))</f>
        <v/>
      </c>
      <c r="H429" s="8" t="str">
        <f aca="false">IF(D429="","",F429*G429)</f>
        <v/>
      </c>
      <c r="I429" s="8" t="str">
        <f aca="false">IF(D429="","",F429*IFERROR(INDEX(Товары!$D$2:$D$200,MATCH(D429,Товары!$A$2:$A$200,0)),0))</f>
        <v/>
      </c>
      <c r="J429" s="8" t="str">
        <f aca="false">IF(D429="","",H429-I429)</f>
        <v/>
      </c>
      <c r="K429" s="7" t="str">
        <f aca="false">IF(A429="","",MONTH(A429))</f>
        <v/>
      </c>
      <c r="L429" s="7" t="str">
        <f aca="false">IF(A429="","",YEAR(A429))</f>
        <v/>
      </c>
      <c r="M429" s="9" t="str">
        <f aca="false">IF(B429="","",B429&amp;"|"&amp;COUNTIF(B$2:B429,B429))</f>
        <v/>
      </c>
    </row>
    <row r="430" customFormat="false" ht="15" hidden="false" customHeight="false" outlineLevel="0" collapsed="false">
      <c r="A430" s="5"/>
      <c r="B430" s="6"/>
      <c r="C430" s="6"/>
      <c r="D430" s="6"/>
      <c r="E430" s="7" t="str">
        <f aca="false">IF(D430="","",IFERROR(INDEX(Товары!$B$2:$B$200,MATCH(D430,Товары!$A$2:$A$200,0)),"нет в справочнике"))</f>
        <v/>
      </c>
      <c r="F430" s="6"/>
      <c r="G430" s="8" t="str">
        <f aca="false">IF(D430="","",IFERROR(INDEX(Товары!$C$2:$C$200,MATCH(D430,Товары!$A$2:$A$200,0)),0))</f>
        <v/>
      </c>
      <c r="H430" s="8" t="str">
        <f aca="false">IF(D430="","",F430*G430)</f>
        <v/>
      </c>
      <c r="I430" s="8" t="str">
        <f aca="false">IF(D430="","",F430*IFERROR(INDEX(Товары!$D$2:$D$200,MATCH(D430,Товары!$A$2:$A$200,0)),0))</f>
        <v/>
      </c>
      <c r="J430" s="8" t="str">
        <f aca="false">IF(D430="","",H430-I430)</f>
        <v/>
      </c>
      <c r="K430" s="7" t="str">
        <f aca="false">IF(A430="","",MONTH(A430))</f>
        <v/>
      </c>
      <c r="L430" s="7" t="str">
        <f aca="false">IF(A430="","",YEAR(A430))</f>
        <v/>
      </c>
      <c r="M430" s="9" t="str">
        <f aca="false">IF(B430="","",B430&amp;"|"&amp;COUNTIF(B$2:B430,B430))</f>
        <v/>
      </c>
    </row>
    <row r="431" customFormat="false" ht="15" hidden="false" customHeight="false" outlineLevel="0" collapsed="false">
      <c r="A431" s="5"/>
      <c r="B431" s="6"/>
      <c r="C431" s="6"/>
      <c r="D431" s="6"/>
      <c r="E431" s="7" t="str">
        <f aca="false">IF(D431="","",IFERROR(INDEX(Товары!$B$2:$B$200,MATCH(D431,Товары!$A$2:$A$200,0)),"нет в справочнике"))</f>
        <v/>
      </c>
      <c r="F431" s="6"/>
      <c r="G431" s="8" t="str">
        <f aca="false">IF(D431="","",IFERROR(INDEX(Товары!$C$2:$C$200,MATCH(D431,Товары!$A$2:$A$200,0)),0))</f>
        <v/>
      </c>
      <c r="H431" s="8" t="str">
        <f aca="false">IF(D431="","",F431*G431)</f>
        <v/>
      </c>
      <c r="I431" s="8" t="str">
        <f aca="false">IF(D431="","",F431*IFERROR(INDEX(Товары!$D$2:$D$200,MATCH(D431,Товары!$A$2:$A$200,0)),0))</f>
        <v/>
      </c>
      <c r="J431" s="8" t="str">
        <f aca="false">IF(D431="","",H431-I431)</f>
        <v/>
      </c>
      <c r="K431" s="7" t="str">
        <f aca="false">IF(A431="","",MONTH(A431))</f>
        <v/>
      </c>
      <c r="L431" s="7" t="str">
        <f aca="false">IF(A431="","",YEAR(A431))</f>
        <v/>
      </c>
      <c r="M431" s="9" t="str">
        <f aca="false">IF(B431="","",B431&amp;"|"&amp;COUNTIF(B$2:B431,B431))</f>
        <v/>
      </c>
    </row>
    <row r="432" customFormat="false" ht="15" hidden="false" customHeight="false" outlineLevel="0" collapsed="false">
      <c r="A432" s="5"/>
      <c r="B432" s="6"/>
      <c r="C432" s="6"/>
      <c r="D432" s="6"/>
      <c r="E432" s="7" t="str">
        <f aca="false">IF(D432="","",IFERROR(INDEX(Товары!$B$2:$B$200,MATCH(D432,Товары!$A$2:$A$200,0)),"нет в справочнике"))</f>
        <v/>
      </c>
      <c r="F432" s="6"/>
      <c r="G432" s="8" t="str">
        <f aca="false">IF(D432="","",IFERROR(INDEX(Товары!$C$2:$C$200,MATCH(D432,Товары!$A$2:$A$200,0)),0))</f>
        <v/>
      </c>
      <c r="H432" s="8" t="str">
        <f aca="false">IF(D432="","",F432*G432)</f>
        <v/>
      </c>
      <c r="I432" s="8" t="str">
        <f aca="false">IF(D432="","",F432*IFERROR(INDEX(Товары!$D$2:$D$200,MATCH(D432,Товары!$A$2:$A$200,0)),0))</f>
        <v/>
      </c>
      <c r="J432" s="8" t="str">
        <f aca="false">IF(D432="","",H432-I432)</f>
        <v/>
      </c>
      <c r="K432" s="7" t="str">
        <f aca="false">IF(A432="","",MONTH(A432))</f>
        <v/>
      </c>
      <c r="L432" s="7" t="str">
        <f aca="false">IF(A432="","",YEAR(A432))</f>
        <v/>
      </c>
      <c r="M432" s="9" t="str">
        <f aca="false">IF(B432="","",B432&amp;"|"&amp;COUNTIF(B$2:B432,B432))</f>
        <v/>
      </c>
    </row>
    <row r="433" customFormat="false" ht="15" hidden="false" customHeight="false" outlineLevel="0" collapsed="false">
      <c r="A433" s="5"/>
      <c r="B433" s="6"/>
      <c r="C433" s="6"/>
      <c r="D433" s="6"/>
      <c r="E433" s="7" t="str">
        <f aca="false">IF(D433="","",IFERROR(INDEX(Товары!$B$2:$B$200,MATCH(D433,Товары!$A$2:$A$200,0)),"нет в справочнике"))</f>
        <v/>
      </c>
      <c r="F433" s="6"/>
      <c r="G433" s="8" t="str">
        <f aca="false">IF(D433="","",IFERROR(INDEX(Товары!$C$2:$C$200,MATCH(D433,Товары!$A$2:$A$200,0)),0))</f>
        <v/>
      </c>
      <c r="H433" s="8" t="str">
        <f aca="false">IF(D433="","",F433*G433)</f>
        <v/>
      </c>
      <c r="I433" s="8" t="str">
        <f aca="false">IF(D433="","",F433*IFERROR(INDEX(Товары!$D$2:$D$200,MATCH(D433,Товары!$A$2:$A$200,0)),0))</f>
        <v/>
      </c>
      <c r="J433" s="8" t="str">
        <f aca="false">IF(D433="","",H433-I433)</f>
        <v/>
      </c>
      <c r="K433" s="7" t="str">
        <f aca="false">IF(A433="","",MONTH(A433))</f>
        <v/>
      </c>
      <c r="L433" s="7" t="str">
        <f aca="false">IF(A433="","",YEAR(A433))</f>
        <v/>
      </c>
      <c r="M433" s="9" t="str">
        <f aca="false">IF(B433="","",B433&amp;"|"&amp;COUNTIF(B$2:B433,B433))</f>
        <v/>
      </c>
    </row>
    <row r="434" customFormat="false" ht="15" hidden="false" customHeight="false" outlineLevel="0" collapsed="false">
      <c r="A434" s="5"/>
      <c r="B434" s="6"/>
      <c r="C434" s="6"/>
      <c r="D434" s="6"/>
      <c r="E434" s="7" t="str">
        <f aca="false">IF(D434="","",IFERROR(INDEX(Товары!$B$2:$B$200,MATCH(D434,Товары!$A$2:$A$200,0)),"нет в справочнике"))</f>
        <v/>
      </c>
      <c r="F434" s="6"/>
      <c r="G434" s="8" t="str">
        <f aca="false">IF(D434="","",IFERROR(INDEX(Товары!$C$2:$C$200,MATCH(D434,Товары!$A$2:$A$200,0)),0))</f>
        <v/>
      </c>
      <c r="H434" s="8" t="str">
        <f aca="false">IF(D434="","",F434*G434)</f>
        <v/>
      </c>
      <c r="I434" s="8" t="str">
        <f aca="false">IF(D434="","",F434*IFERROR(INDEX(Товары!$D$2:$D$200,MATCH(D434,Товары!$A$2:$A$200,0)),0))</f>
        <v/>
      </c>
      <c r="J434" s="8" t="str">
        <f aca="false">IF(D434="","",H434-I434)</f>
        <v/>
      </c>
      <c r="K434" s="7" t="str">
        <f aca="false">IF(A434="","",MONTH(A434))</f>
        <v/>
      </c>
      <c r="L434" s="7" t="str">
        <f aca="false">IF(A434="","",YEAR(A434))</f>
        <v/>
      </c>
      <c r="M434" s="9" t="str">
        <f aca="false">IF(B434="","",B434&amp;"|"&amp;COUNTIF(B$2:B434,B434))</f>
        <v/>
      </c>
    </row>
    <row r="435" customFormat="false" ht="15" hidden="false" customHeight="false" outlineLevel="0" collapsed="false">
      <c r="A435" s="5"/>
      <c r="B435" s="6"/>
      <c r="C435" s="6"/>
      <c r="D435" s="6"/>
      <c r="E435" s="7" t="str">
        <f aca="false">IF(D435="","",IFERROR(INDEX(Товары!$B$2:$B$200,MATCH(D435,Товары!$A$2:$A$200,0)),"нет в справочнике"))</f>
        <v/>
      </c>
      <c r="F435" s="6"/>
      <c r="G435" s="8" t="str">
        <f aca="false">IF(D435="","",IFERROR(INDEX(Товары!$C$2:$C$200,MATCH(D435,Товары!$A$2:$A$200,0)),0))</f>
        <v/>
      </c>
      <c r="H435" s="8" t="str">
        <f aca="false">IF(D435="","",F435*G435)</f>
        <v/>
      </c>
      <c r="I435" s="8" t="str">
        <f aca="false">IF(D435="","",F435*IFERROR(INDEX(Товары!$D$2:$D$200,MATCH(D435,Товары!$A$2:$A$200,0)),0))</f>
        <v/>
      </c>
      <c r="J435" s="8" t="str">
        <f aca="false">IF(D435="","",H435-I435)</f>
        <v/>
      </c>
      <c r="K435" s="7" t="str">
        <f aca="false">IF(A435="","",MONTH(A435))</f>
        <v/>
      </c>
      <c r="L435" s="7" t="str">
        <f aca="false">IF(A435="","",YEAR(A435))</f>
        <v/>
      </c>
      <c r="M435" s="9" t="str">
        <f aca="false">IF(B435="","",B435&amp;"|"&amp;COUNTIF(B$2:B435,B435))</f>
        <v/>
      </c>
    </row>
    <row r="436" customFormat="false" ht="15" hidden="false" customHeight="false" outlineLevel="0" collapsed="false">
      <c r="A436" s="5"/>
      <c r="B436" s="6"/>
      <c r="C436" s="6"/>
      <c r="D436" s="6"/>
      <c r="E436" s="7" t="str">
        <f aca="false">IF(D436="","",IFERROR(INDEX(Товары!$B$2:$B$200,MATCH(D436,Товары!$A$2:$A$200,0)),"нет в справочнике"))</f>
        <v/>
      </c>
      <c r="F436" s="6"/>
      <c r="G436" s="8" t="str">
        <f aca="false">IF(D436="","",IFERROR(INDEX(Товары!$C$2:$C$200,MATCH(D436,Товары!$A$2:$A$200,0)),0))</f>
        <v/>
      </c>
      <c r="H436" s="8" t="str">
        <f aca="false">IF(D436="","",F436*G436)</f>
        <v/>
      </c>
      <c r="I436" s="8" t="str">
        <f aca="false">IF(D436="","",F436*IFERROR(INDEX(Товары!$D$2:$D$200,MATCH(D436,Товары!$A$2:$A$200,0)),0))</f>
        <v/>
      </c>
      <c r="J436" s="8" t="str">
        <f aca="false">IF(D436="","",H436-I436)</f>
        <v/>
      </c>
      <c r="K436" s="7" t="str">
        <f aca="false">IF(A436="","",MONTH(A436))</f>
        <v/>
      </c>
      <c r="L436" s="7" t="str">
        <f aca="false">IF(A436="","",YEAR(A436))</f>
        <v/>
      </c>
      <c r="M436" s="9" t="str">
        <f aca="false">IF(B436="","",B436&amp;"|"&amp;COUNTIF(B$2:B436,B436))</f>
        <v/>
      </c>
    </row>
    <row r="437" customFormat="false" ht="15" hidden="false" customHeight="false" outlineLevel="0" collapsed="false">
      <c r="A437" s="5"/>
      <c r="B437" s="6"/>
      <c r="C437" s="6"/>
      <c r="D437" s="6"/>
      <c r="E437" s="7" t="str">
        <f aca="false">IF(D437="","",IFERROR(INDEX(Товары!$B$2:$B$200,MATCH(D437,Товары!$A$2:$A$200,0)),"нет в справочнике"))</f>
        <v/>
      </c>
      <c r="F437" s="6"/>
      <c r="G437" s="8" t="str">
        <f aca="false">IF(D437="","",IFERROR(INDEX(Товары!$C$2:$C$200,MATCH(D437,Товары!$A$2:$A$200,0)),0))</f>
        <v/>
      </c>
      <c r="H437" s="8" t="str">
        <f aca="false">IF(D437="","",F437*G437)</f>
        <v/>
      </c>
      <c r="I437" s="8" t="str">
        <f aca="false">IF(D437="","",F437*IFERROR(INDEX(Товары!$D$2:$D$200,MATCH(D437,Товары!$A$2:$A$200,0)),0))</f>
        <v/>
      </c>
      <c r="J437" s="8" t="str">
        <f aca="false">IF(D437="","",H437-I437)</f>
        <v/>
      </c>
      <c r="K437" s="7" t="str">
        <f aca="false">IF(A437="","",MONTH(A437))</f>
        <v/>
      </c>
      <c r="L437" s="7" t="str">
        <f aca="false">IF(A437="","",YEAR(A437))</f>
        <v/>
      </c>
      <c r="M437" s="9" t="str">
        <f aca="false">IF(B437="","",B437&amp;"|"&amp;COUNTIF(B$2:B437,B437))</f>
        <v/>
      </c>
    </row>
    <row r="438" customFormat="false" ht="15" hidden="false" customHeight="false" outlineLevel="0" collapsed="false">
      <c r="A438" s="5"/>
      <c r="B438" s="6"/>
      <c r="C438" s="6"/>
      <c r="D438" s="6"/>
      <c r="E438" s="7" t="str">
        <f aca="false">IF(D438="","",IFERROR(INDEX(Товары!$B$2:$B$200,MATCH(D438,Товары!$A$2:$A$200,0)),"нет в справочнике"))</f>
        <v/>
      </c>
      <c r="F438" s="6"/>
      <c r="G438" s="8" t="str">
        <f aca="false">IF(D438="","",IFERROR(INDEX(Товары!$C$2:$C$200,MATCH(D438,Товары!$A$2:$A$200,0)),0))</f>
        <v/>
      </c>
      <c r="H438" s="8" t="str">
        <f aca="false">IF(D438="","",F438*G438)</f>
        <v/>
      </c>
      <c r="I438" s="8" t="str">
        <f aca="false">IF(D438="","",F438*IFERROR(INDEX(Товары!$D$2:$D$200,MATCH(D438,Товары!$A$2:$A$200,0)),0))</f>
        <v/>
      </c>
      <c r="J438" s="8" t="str">
        <f aca="false">IF(D438="","",H438-I438)</f>
        <v/>
      </c>
      <c r="K438" s="7" t="str">
        <f aca="false">IF(A438="","",MONTH(A438))</f>
        <v/>
      </c>
      <c r="L438" s="7" t="str">
        <f aca="false">IF(A438="","",YEAR(A438))</f>
        <v/>
      </c>
      <c r="M438" s="9" t="str">
        <f aca="false">IF(B438="","",B438&amp;"|"&amp;COUNTIF(B$2:B438,B438))</f>
        <v/>
      </c>
    </row>
    <row r="439" customFormat="false" ht="15" hidden="false" customHeight="false" outlineLevel="0" collapsed="false">
      <c r="A439" s="5"/>
      <c r="B439" s="6"/>
      <c r="C439" s="6"/>
      <c r="D439" s="6"/>
      <c r="E439" s="7" t="str">
        <f aca="false">IF(D439="","",IFERROR(INDEX(Товары!$B$2:$B$200,MATCH(D439,Товары!$A$2:$A$200,0)),"нет в справочнике"))</f>
        <v/>
      </c>
      <c r="F439" s="6"/>
      <c r="G439" s="8" t="str">
        <f aca="false">IF(D439="","",IFERROR(INDEX(Товары!$C$2:$C$200,MATCH(D439,Товары!$A$2:$A$200,0)),0))</f>
        <v/>
      </c>
      <c r="H439" s="8" t="str">
        <f aca="false">IF(D439="","",F439*G439)</f>
        <v/>
      </c>
      <c r="I439" s="8" t="str">
        <f aca="false">IF(D439="","",F439*IFERROR(INDEX(Товары!$D$2:$D$200,MATCH(D439,Товары!$A$2:$A$200,0)),0))</f>
        <v/>
      </c>
      <c r="J439" s="8" t="str">
        <f aca="false">IF(D439="","",H439-I439)</f>
        <v/>
      </c>
      <c r="K439" s="7" t="str">
        <f aca="false">IF(A439="","",MONTH(A439))</f>
        <v/>
      </c>
      <c r="L439" s="7" t="str">
        <f aca="false">IF(A439="","",YEAR(A439))</f>
        <v/>
      </c>
      <c r="M439" s="9" t="str">
        <f aca="false">IF(B439="","",B439&amp;"|"&amp;COUNTIF(B$2:B439,B439))</f>
        <v/>
      </c>
    </row>
    <row r="440" customFormat="false" ht="15" hidden="false" customHeight="false" outlineLevel="0" collapsed="false">
      <c r="A440" s="5"/>
      <c r="B440" s="6"/>
      <c r="C440" s="6"/>
      <c r="D440" s="6"/>
      <c r="E440" s="7" t="str">
        <f aca="false">IF(D440="","",IFERROR(INDEX(Товары!$B$2:$B$200,MATCH(D440,Товары!$A$2:$A$200,0)),"нет в справочнике"))</f>
        <v/>
      </c>
      <c r="F440" s="6"/>
      <c r="G440" s="8" t="str">
        <f aca="false">IF(D440="","",IFERROR(INDEX(Товары!$C$2:$C$200,MATCH(D440,Товары!$A$2:$A$200,0)),0))</f>
        <v/>
      </c>
      <c r="H440" s="8" t="str">
        <f aca="false">IF(D440="","",F440*G440)</f>
        <v/>
      </c>
      <c r="I440" s="8" t="str">
        <f aca="false">IF(D440="","",F440*IFERROR(INDEX(Товары!$D$2:$D$200,MATCH(D440,Товары!$A$2:$A$200,0)),0))</f>
        <v/>
      </c>
      <c r="J440" s="8" t="str">
        <f aca="false">IF(D440="","",H440-I440)</f>
        <v/>
      </c>
      <c r="K440" s="7" t="str">
        <f aca="false">IF(A440="","",MONTH(A440))</f>
        <v/>
      </c>
      <c r="L440" s="7" t="str">
        <f aca="false">IF(A440="","",YEAR(A440))</f>
        <v/>
      </c>
      <c r="M440" s="9" t="str">
        <f aca="false">IF(B440="","",B440&amp;"|"&amp;COUNTIF(B$2:B440,B440))</f>
        <v/>
      </c>
    </row>
    <row r="441" customFormat="false" ht="15" hidden="false" customHeight="false" outlineLevel="0" collapsed="false">
      <c r="A441" s="5"/>
      <c r="B441" s="6"/>
      <c r="C441" s="6"/>
      <c r="D441" s="6"/>
      <c r="E441" s="7" t="str">
        <f aca="false">IF(D441="","",IFERROR(INDEX(Товары!$B$2:$B$200,MATCH(D441,Товары!$A$2:$A$200,0)),"нет в справочнике"))</f>
        <v/>
      </c>
      <c r="F441" s="6"/>
      <c r="G441" s="8" t="str">
        <f aca="false">IF(D441="","",IFERROR(INDEX(Товары!$C$2:$C$200,MATCH(D441,Товары!$A$2:$A$200,0)),0))</f>
        <v/>
      </c>
      <c r="H441" s="8" t="str">
        <f aca="false">IF(D441="","",F441*G441)</f>
        <v/>
      </c>
      <c r="I441" s="8" t="str">
        <f aca="false">IF(D441="","",F441*IFERROR(INDEX(Товары!$D$2:$D$200,MATCH(D441,Товары!$A$2:$A$200,0)),0))</f>
        <v/>
      </c>
      <c r="J441" s="8" t="str">
        <f aca="false">IF(D441="","",H441-I441)</f>
        <v/>
      </c>
      <c r="K441" s="7" t="str">
        <f aca="false">IF(A441="","",MONTH(A441))</f>
        <v/>
      </c>
      <c r="L441" s="7" t="str">
        <f aca="false">IF(A441="","",YEAR(A441))</f>
        <v/>
      </c>
      <c r="M441" s="9" t="str">
        <f aca="false">IF(B441="","",B441&amp;"|"&amp;COUNTIF(B$2:B441,B441))</f>
        <v/>
      </c>
    </row>
    <row r="442" customFormat="false" ht="15" hidden="false" customHeight="false" outlineLevel="0" collapsed="false">
      <c r="A442" s="5"/>
      <c r="B442" s="6"/>
      <c r="C442" s="6"/>
      <c r="D442" s="6"/>
      <c r="E442" s="7" t="str">
        <f aca="false">IF(D442="","",IFERROR(INDEX(Товары!$B$2:$B$200,MATCH(D442,Товары!$A$2:$A$200,0)),"нет в справочнике"))</f>
        <v/>
      </c>
      <c r="F442" s="6"/>
      <c r="G442" s="8" t="str">
        <f aca="false">IF(D442="","",IFERROR(INDEX(Товары!$C$2:$C$200,MATCH(D442,Товары!$A$2:$A$200,0)),0))</f>
        <v/>
      </c>
      <c r="H442" s="8" t="str">
        <f aca="false">IF(D442="","",F442*G442)</f>
        <v/>
      </c>
      <c r="I442" s="8" t="str">
        <f aca="false">IF(D442="","",F442*IFERROR(INDEX(Товары!$D$2:$D$200,MATCH(D442,Товары!$A$2:$A$200,0)),0))</f>
        <v/>
      </c>
      <c r="J442" s="8" t="str">
        <f aca="false">IF(D442="","",H442-I442)</f>
        <v/>
      </c>
      <c r="K442" s="7" t="str">
        <f aca="false">IF(A442="","",MONTH(A442))</f>
        <v/>
      </c>
      <c r="L442" s="7" t="str">
        <f aca="false">IF(A442="","",YEAR(A442))</f>
        <v/>
      </c>
      <c r="M442" s="9" t="str">
        <f aca="false">IF(B442="","",B442&amp;"|"&amp;COUNTIF(B$2:B442,B442))</f>
        <v/>
      </c>
    </row>
    <row r="443" customFormat="false" ht="15" hidden="false" customHeight="false" outlineLevel="0" collapsed="false">
      <c r="A443" s="5"/>
      <c r="B443" s="6"/>
      <c r="C443" s="6"/>
      <c r="D443" s="6"/>
      <c r="E443" s="7" t="str">
        <f aca="false">IF(D443="","",IFERROR(INDEX(Товары!$B$2:$B$200,MATCH(D443,Товары!$A$2:$A$200,0)),"нет в справочнике"))</f>
        <v/>
      </c>
      <c r="F443" s="6"/>
      <c r="G443" s="8" t="str">
        <f aca="false">IF(D443="","",IFERROR(INDEX(Товары!$C$2:$C$200,MATCH(D443,Товары!$A$2:$A$200,0)),0))</f>
        <v/>
      </c>
      <c r="H443" s="8" t="str">
        <f aca="false">IF(D443="","",F443*G443)</f>
        <v/>
      </c>
      <c r="I443" s="8" t="str">
        <f aca="false">IF(D443="","",F443*IFERROR(INDEX(Товары!$D$2:$D$200,MATCH(D443,Товары!$A$2:$A$200,0)),0))</f>
        <v/>
      </c>
      <c r="J443" s="8" t="str">
        <f aca="false">IF(D443="","",H443-I443)</f>
        <v/>
      </c>
      <c r="K443" s="7" t="str">
        <f aca="false">IF(A443="","",MONTH(A443))</f>
        <v/>
      </c>
      <c r="L443" s="7" t="str">
        <f aca="false">IF(A443="","",YEAR(A443))</f>
        <v/>
      </c>
      <c r="M443" s="9" t="str">
        <f aca="false">IF(B443="","",B443&amp;"|"&amp;COUNTIF(B$2:B443,B443))</f>
        <v/>
      </c>
    </row>
    <row r="444" customFormat="false" ht="15" hidden="false" customHeight="false" outlineLevel="0" collapsed="false">
      <c r="A444" s="5"/>
      <c r="B444" s="6"/>
      <c r="C444" s="6"/>
      <c r="D444" s="6"/>
      <c r="E444" s="7" t="str">
        <f aca="false">IF(D444="","",IFERROR(INDEX(Товары!$B$2:$B$200,MATCH(D444,Товары!$A$2:$A$200,0)),"нет в справочнике"))</f>
        <v/>
      </c>
      <c r="F444" s="6"/>
      <c r="G444" s="8" t="str">
        <f aca="false">IF(D444="","",IFERROR(INDEX(Товары!$C$2:$C$200,MATCH(D444,Товары!$A$2:$A$200,0)),0))</f>
        <v/>
      </c>
      <c r="H444" s="8" t="str">
        <f aca="false">IF(D444="","",F444*G444)</f>
        <v/>
      </c>
      <c r="I444" s="8" t="str">
        <f aca="false">IF(D444="","",F444*IFERROR(INDEX(Товары!$D$2:$D$200,MATCH(D444,Товары!$A$2:$A$200,0)),0))</f>
        <v/>
      </c>
      <c r="J444" s="8" t="str">
        <f aca="false">IF(D444="","",H444-I444)</f>
        <v/>
      </c>
      <c r="K444" s="7" t="str">
        <f aca="false">IF(A444="","",MONTH(A444))</f>
        <v/>
      </c>
      <c r="L444" s="7" t="str">
        <f aca="false">IF(A444="","",YEAR(A444))</f>
        <v/>
      </c>
      <c r="M444" s="9" t="str">
        <f aca="false">IF(B444="","",B444&amp;"|"&amp;COUNTIF(B$2:B444,B444))</f>
        <v/>
      </c>
    </row>
    <row r="445" customFormat="false" ht="15" hidden="false" customHeight="false" outlineLevel="0" collapsed="false">
      <c r="A445" s="5"/>
      <c r="B445" s="6"/>
      <c r="C445" s="6"/>
      <c r="D445" s="6"/>
      <c r="E445" s="7" t="str">
        <f aca="false">IF(D445="","",IFERROR(INDEX(Товары!$B$2:$B$200,MATCH(D445,Товары!$A$2:$A$200,0)),"нет в справочнике"))</f>
        <v/>
      </c>
      <c r="F445" s="6"/>
      <c r="G445" s="8" t="str">
        <f aca="false">IF(D445="","",IFERROR(INDEX(Товары!$C$2:$C$200,MATCH(D445,Товары!$A$2:$A$200,0)),0))</f>
        <v/>
      </c>
      <c r="H445" s="8" t="str">
        <f aca="false">IF(D445="","",F445*G445)</f>
        <v/>
      </c>
      <c r="I445" s="8" t="str">
        <f aca="false">IF(D445="","",F445*IFERROR(INDEX(Товары!$D$2:$D$200,MATCH(D445,Товары!$A$2:$A$200,0)),0))</f>
        <v/>
      </c>
      <c r="J445" s="8" t="str">
        <f aca="false">IF(D445="","",H445-I445)</f>
        <v/>
      </c>
      <c r="K445" s="7" t="str">
        <f aca="false">IF(A445="","",MONTH(A445))</f>
        <v/>
      </c>
      <c r="L445" s="7" t="str">
        <f aca="false">IF(A445="","",YEAR(A445))</f>
        <v/>
      </c>
      <c r="M445" s="9" t="str">
        <f aca="false">IF(B445="","",B445&amp;"|"&amp;COUNTIF(B$2:B445,B445))</f>
        <v/>
      </c>
    </row>
    <row r="446" customFormat="false" ht="15" hidden="false" customHeight="false" outlineLevel="0" collapsed="false">
      <c r="A446" s="5"/>
      <c r="B446" s="6"/>
      <c r="C446" s="6"/>
      <c r="D446" s="6"/>
      <c r="E446" s="7" t="str">
        <f aca="false">IF(D446="","",IFERROR(INDEX(Товары!$B$2:$B$200,MATCH(D446,Товары!$A$2:$A$200,0)),"нет в справочнике"))</f>
        <v/>
      </c>
      <c r="F446" s="6"/>
      <c r="G446" s="8" t="str">
        <f aca="false">IF(D446="","",IFERROR(INDEX(Товары!$C$2:$C$200,MATCH(D446,Товары!$A$2:$A$200,0)),0))</f>
        <v/>
      </c>
      <c r="H446" s="8" t="str">
        <f aca="false">IF(D446="","",F446*G446)</f>
        <v/>
      </c>
      <c r="I446" s="8" t="str">
        <f aca="false">IF(D446="","",F446*IFERROR(INDEX(Товары!$D$2:$D$200,MATCH(D446,Товары!$A$2:$A$200,0)),0))</f>
        <v/>
      </c>
      <c r="J446" s="8" t="str">
        <f aca="false">IF(D446="","",H446-I446)</f>
        <v/>
      </c>
      <c r="K446" s="7" t="str">
        <f aca="false">IF(A446="","",MONTH(A446))</f>
        <v/>
      </c>
      <c r="L446" s="7" t="str">
        <f aca="false">IF(A446="","",YEAR(A446))</f>
        <v/>
      </c>
      <c r="M446" s="9" t="str">
        <f aca="false">IF(B446="","",B446&amp;"|"&amp;COUNTIF(B$2:B446,B446))</f>
        <v/>
      </c>
    </row>
    <row r="447" customFormat="false" ht="15" hidden="false" customHeight="false" outlineLevel="0" collapsed="false">
      <c r="A447" s="5"/>
      <c r="B447" s="6"/>
      <c r="C447" s="6"/>
      <c r="D447" s="6"/>
      <c r="E447" s="7" t="str">
        <f aca="false">IF(D447="","",IFERROR(INDEX(Товары!$B$2:$B$200,MATCH(D447,Товары!$A$2:$A$200,0)),"нет в справочнике"))</f>
        <v/>
      </c>
      <c r="F447" s="6"/>
      <c r="G447" s="8" t="str">
        <f aca="false">IF(D447="","",IFERROR(INDEX(Товары!$C$2:$C$200,MATCH(D447,Товары!$A$2:$A$200,0)),0))</f>
        <v/>
      </c>
      <c r="H447" s="8" t="str">
        <f aca="false">IF(D447="","",F447*G447)</f>
        <v/>
      </c>
      <c r="I447" s="8" t="str">
        <f aca="false">IF(D447="","",F447*IFERROR(INDEX(Товары!$D$2:$D$200,MATCH(D447,Товары!$A$2:$A$200,0)),0))</f>
        <v/>
      </c>
      <c r="J447" s="8" t="str">
        <f aca="false">IF(D447="","",H447-I447)</f>
        <v/>
      </c>
      <c r="K447" s="7" t="str">
        <f aca="false">IF(A447="","",MONTH(A447))</f>
        <v/>
      </c>
      <c r="L447" s="7" t="str">
        <f aca="false">IF(A447="","",YEAR(A447))</f>
        <v/>
      </c>
      <c r="M447" s="9" t="str">
        <f aca="false">IF(B447="","",B447&amp;"|"&amp;COUNTIF(B$2:B447,B447))</f>
        <v/>
      </c>
    </row>
    <row r="448" customFormat="false" ht="15" hidden="false" customHeight="false" outlineLevel="0" collapsed="false">
      <c r="A448" s="5"/>
      <c r="B448" s="6"/>
      <c r="C448" s="6"/>
      <c r="D448" s="6"/>
      <c r="E448" s="7" t="str">
        <f aca="false">IF(D448="","",IFERROR(INDEX(Товары!$B$2:$B$200,MATCH(D448,Товары!$A$2:$A$200,0)),"нет в справочнике"))</f>
        <v/>
      </c>
      <c r="F448" s="6"/>
      <c r="G448" s="8" t="str">
        <f aca="false">IF(D448="","",IFERROR(INDEX(Товары!$C$2:$C$200,MATCH(D448,Товары!$A$2:$A$200,0)),0))</f>
        <v/>
      </c>
      <c r="H448" s="8" t="str">
        <f aca="false">IF(D448="","",F448*G448)</f>
        <v/>
      </c>
      <c r="I448" s="8" t="str">
        <f aca="false">IF(D448="","",F448*IFERROR(INDEX(Товары!$D$2:$D$200,MATCH(D448,Товары!$A$2:$A$200,0)),0))</f>
        <v/>
      </c>
      <c r="J448" s="8" t="str">
        <f aca="false">IF(D448="","",H448-I448)</f>
        <v/>
      </c>
      <c r="K448" s="7" t="str">
        <f aca="false">IF(A448="","",MONTH(A448))</f>
        <v/>
      </c>
      <c r="L448" s="7" t="str">
        <f aca="false">IF(A448="","",YEAR(A448))</f>
        <v/>
      </c>
      <c r="M448" s="9" t="str">
        <f aca="false">IF(B448="","",B448&amp;"|"&amp;COUNTIF(B$2:B448,B448))</f>
        <v/>
      </c>
    </row>
    <row r="449" customFormat="false" ht="15" hidden="false" customHeight="false" outlineLevel="0" collapsed="false">
      <c r="A449" s="5"/>
      <c r="B449" s="6"/>
      <c r="C449" s="6"/>
      <c r="D449" s="6"/>
      <c r="E449" s="7" t="str">
        <f aca="false">IF(D449="","",IFERROR(INDEX(Товары!$B$2:$B$200,MATCH(D449,Товары!$A$2:$A$200,0)),"нет в справочнике"))</f>
        <v/>
      </c>
      <c r="F449" s="6"/>
      <c r="G449" s="8" t="str">
        <f aca="false">IF(D449="","",IFERROR(INDEX(Товары!$C$2:$C$200,MATCH(D449,Товары!$A$2:$A$200,0)),0))</f>
        <v/>
      </c>
      <c r="H449" s="8" t="str">
        <f aca="false">IF(D449="","",F449*G449)</f>
        <v/>
      </c>
      <c r="I449" s="8" t="str">
        <f aca="false">IF(D449="","",F449*IFERROR(INDEX(Товары!$D$2:$D$200,MATCH(D449,Товары!$A$2:$A$200,0)),0))</f>
        <v/>
      </c>
      <c r="J449" s="8" t="str">
        <f aca="false">IF(D449="","",H449-I449)</f>
        <v/>
      </c>
      <c r="K449" s="7" t="str">
        <f aca="false">IF(A449="","",MONTH(A449))</f>
        <v/>
      </c>
      <c r="L449" s="7" t="str">
        <f aca="false">IF(A449="","",YEAR(A449))</f>
        <v/>
      </c>
      <c r="M449" s="9" t="str">
        <f aca="false">IF(B449="","",B449&amp;"|"&amp;COUNTIF(B$2:B449,B449))</f>
        <v/>
      </c>
    </row>
    <row r="450" customFormat="false" ht="15" hidden="false" customHeight="false" outlineLevel="0" collapsed="false">
      <c r="A450" s="5"/>
      <c r="B450" s="6"/>
      <c r="C450" s="6"/>
      <c r="D450" s="6"/>
      <c r="E450" s="7" t="str">
        <f aca="false">IF(D450="","",IFERROR(INDEX(Товары!$B$2:$B$200,MATCH(D450,Товары!$A$2:$A$200,0)),"нет в справочнике"))</f>
        <v/>
      </c>
      <c r="F450" s="6"/>
      <c r="G450" s="8" t="str">
        <f aca="false">IF(D450="","",IFERROR(INDEX(Товары!$C$2:$C$200,MATCH(D450,Товары!$A$2:$A$200,0)),0))</f>
        <v/>
      </c>
      <c r="H450" s="8" t="str">
        <f aca="false">IF(D450="","",F450*G450)</f>
        <v/>
      </c>
      <c r="I450" s="8" t="str">
        <f aca="false">IF(D450="","",F450*IFERROR(INDEX(Товары!$D$2:$D$200,MATCH(D450,Товары!$A$2:$A$200,0)),0))</f>
        <v/>
      </c>
      <c r="J450" s="8" t="str">
        <f aca="false">IF(D450="","",H450-I450)</f>
        <v/>
      </c>
      <c r="K450" s="7" t="str">
        <f aca="false">IF(A450="","",MONTH(A450))</f>
        <v/>
      </c>
      <c r="L450" s="7" t="str">
        <f aca="false">IF(A450="","",YEAR(A450))</f>
        <v/>
      </c>
      <c r="M450" s="9" t="str">
        <f aca="false">IF(B450="","",B450&amp;"|"&amp;COUNTIF(B$2:B450,B450))</f>
        <v/>
      </c>
    </row>
    <row r="451" customFormat="false" ht="15" hidden="false" customHeight="false" outlineLevel="0" collapsed="false">
      <c r="A451" s="5"/>
      <c r="B451" s="6"/>
      <c r="C451" s="6"/>
      <c r="D451" s="6"/>
      <c r="E451" s="7" t="str">
        <f aca="false">IF(D451="","",IFERROR(INDEX(Товары!$B$2:$B$200,MATCH(D451,Товары!$A$2:$A$200,0)),"нет в справочнике"))</f>
        <v/>
      </c>
      <c r="F451" s="6"/>
      <c r="G451" s="8" t="str">
        <f aca="false">IF(D451="","",IFERROR(INDEX(Товары!$C$2:$C$200,MATCH(D451,Товары!$A$2:$A$200,0)),0))</f>
        <v/>
      </c>
      <c r="H451" s="8" t="str">
        <f aca="false">IF(D451="","",F451*G451)</f>
        <v/>
      </c>
      <c r="I451" s="8" t="str">
        <f aca="false">IF(D451="","",F451*IFERROR(INDEX(Товары!$D$2:$D$200,MATCH(D451,Товары!$A$2:$A$200,0)),0))</f>
        <v/>
      </c>
      <c r="J451" s="8" t="str">
        <f aca="false">IF(D451="","",H451-I451)</f>
        <v/>
      </c>
      <c r="K451" s="7" t="str">
        <f aca="false">IF(A451="","",MONTH(A451))</f>
        <v/>
      </c>
      <c r="L451" s="7" t="str">
        <f aca="false">IF(A451="","",YEAR(A451))</f>
        <v/>
      </c>
      <c r="M451" s="9" t="str">
        <f aca="false">IF(B451="","",B451&amp;"|"&amp;COUNTIF(B$2:B451,B451))</f>
        <v/>
      </c>
    </row>
    <row r="452" customFormat="false" ht="15" hidden="false" customHeight="false" outlineLevel="0" collapsed="false">
      <c r="A452" s="5"/>
      <c r="B452" s="6"/>
      <c r="C452" s="6"/>
      <c r="D452" s="6"/>
      <c r="E452" s="7" t="str">
        <f aca="false">IF(D452="","",IFERROR(INDEX(Товары!$B$2:$B$200,MATCH(D452,Товары!$A$2:$A$200,0)),"нет в справочнике"))</f>
        <v/>
      </c>
      <c r="F452" s="6"/>
      <c r="G452" s="8" t="str">
        <f aca="false">IF(D452="","",IFERROR(INDEX(Товары!$C$2:$C$200,MATCH(D452,Товары!$A$2:$A$200,0)),0))</f>
        <v/>
      </c>
      <c r="H452" s="8" t="str">
        <f aca="false">IF(D452="","",F452*G452)</f>
        <v/>
      </c>
      <c r="I452" s="8" t="str">
        <f aca="false">IF(D452="","",F452*IFERROR(INDEX(Товары!$D$2:$D$200,MATCH(D452,Товары!$A$2:$A$200,0)),0))</f>
        <v/>
      </c>
      <c r="J452" s="8" t="str">
        <f aca="false">IF(D452="","",H452-I452)</f>
        <v/>
      </c>
      <c r="K452" s="7" t="str">
        <f aca="false">IF(A452="","",MONTH(A452))</f>
        <v/>
      </c>
      <c r="L452" s="7" t="str">
        <f aca="false">IF(A452="","",YEAR(A452))</f>
        <v/>
      </c>
      <c r="M452" s="9" t="str">
        <f aca="false">IF(B452="","",B452&amp;"|"&amp;COUNTIF(B$2:B452,B452))</f>
        <v/>
      </c>
    </row>
    <row r="453" customFormat="false" ht="15" hidden="false" customHeight="false" outlineLevel="0" collapsed="false">
      <c r="A453" s="5"/>
      <c r="B453" s="6"/>
      <c r="C453" s="6"/>
      <c r="D453" s="6"/>
      <c r="E453" s="7" t="str">
        <f aca="false">IF(D453="","",IFERROR(INDEX(Товары!$B$2:$B$200,MATCH(D453,Товары!$A$2:$A$200,0)),"нет в справочнике"))</f>
        <v/>
      </c>
      <c r="F453" s="6"/>
      <c r="G453" s="8" t="str">
        <f aca="false">IF(D453="","",IFERROR(INDEX(Товары!$C$2:$C$200,MATCH(D453,Товары!$A$2:$A$200,0)),0))</f>
        <v/>
      </c>
      <c r="H453" s="8" t="str">
        <f aca="false">IF(D453="","",F453*G453)</f>
        <v/>
      </c>
      <c r="I453" s="8" t="str">
        <f aca="false">IF(D453="","",F453*IFERROR(INDEX(Товары!$D$2:$D$200,MATCH(D453,Товары!$A$2:$A$200,0)),0))</f>
        <v/>
      </c>
      <c r="J453" s="8" t="str">
        <f aca="false">IF(D453="","",H453-I453)</f>
        <v/>
      </c>
      <c r="K453" s="7" t="str">
        <f aca="false">IF(A453="","",MONTH(A453))</f>
        <v/>
      </c>
      <c r="L453" s="7" t="str">
        <f aca="false">IF(A453="","",YEAR(A453))</f>
        <v/>
      </c>
      <c r="M453" s="9" t="str">
        <f aca="false">IF(B453="","",B453&amp;"|"&amp;COUNTIF(B$2:B453,B453))</f>
        <v/>
      </c>
    </row>
    <row r="454" customFormat="false" ht="15" hidden="false" customHeight="false" outlineLevel="0" collapsed="false">
      <c r="A454" s="5"/>
      <c r="B454" s="6"/>
      <c r="C454" s="6"/>
      <c r="D454" s="6"/>
      <c r="E454" s="7" t="str">
        <f aca="false">IF(D454="","",IFERROR(INDEX(Товары!$B$2:$B$200,MATCH(D454,Товары!$A$2:$A$200,0)),"нет в справочнике"))</f>
        <v/>
      </c>
      <c r="F454" s="6"/>
      <c r="G454" s="8" t="str">
        <f aca="false">IF(D454="","",IFERROR(INDEX(Товары!$C$2:$C$200,MATCH(D454,Товары!$A$2:$A$200,0)),0))</f>
        <v/>
      </c>
      <c r="H454" s="8" t="str">
        <f aca="false">IF(D454="","",F454*G454)</f>
        <v/>
      </c>
      <c r="I454" s="8" t="str">
        <f aca="false">IF(D454="","",F454*IFERROR(INDEX(Товары!$D$2:$D$200,MATCH(D454,Товары!$A$2:$A$200,0)),0))</f>
        <v/>
      </c>
      <c r="J454" s="8" t="str">
        <f aca="false">IF(D454="","",H454-I454)</f>
        <v/>
      </c>
      <c r="K454" s="7" t="str">
        <f aca="false">IF(A454="","",MONTH(A454))</f>
        <v/>
      </c>
      <c r="L454" s="7" t="str">
        <f aca="false">IF(A454="","",YEAR(A454))</f>
        <v/>
      </c>
      <c r="M454" s="9" t="str">
        <f aca="false">IF(B454="","",B454&amp;"|"&amp;COUNTIF(B$2:B454,B454))</f>
        <v/>
      </c>
    </row>
    <row r="455" customFormat="false" ht="15" hidden="false" customHeight="false" outlineLevel="0" collapsed="false">
      <c r="A455" s="5"/>
      <c r="B455" s="6"/>
      <c r="C455" s="6"/>
      <c r="D455" s="6"/>
      <c r="E455" s="7" t="str">
        <f aca="false">IF(D455="","",IFERROR(INDEX(Товары!$B$2:$B$200,MATCH(D455,Товары!$A$2:$A$200,0)),"нет в справочнике"))</f>
        <v/>
      </c>
      <c r="F455" s="6"/>
      <c r="G455" s="8" t="str">
        <f aca="false">IF(D455="","",IFERROR(INDEX(Товары!$C$2:$C$200,MATCH(D455,Товары!$A$2:$A$200,0)),0))</f>
        <v/>
      </c>
      <c r="H455" s="8" t="str">
        <f aca="false">IF(D455="","",F455*G455)</f>
        <v/>
      </c>
      <c r="I455" s="8" t="str">
        <f aca="false">IF(D455="","",F455*IFERROR(INDEX(Товары!$D$2:$D$200,MATCH(D455,Товары!$A$2:$A$200,0)),0))</f>
        <v/>
      </c>
      <c r="J455" s="8" t="str">
        <f aca="false">IF(D455="","",H455-I455)</f>
        <v/>
      </c>
      <c r="K455" s="7" t="str">
        <f aca="false">IF(A455="","",MONTH(A455))</f>
        <v/>
      </c>
      <c r="L455" s="7" t="str">
        <f aca="false">IF(A455="","",YEAR(A455))</f>
        <v/>
      </c>
      <c r="M455" s="9" t="str">
        <f aca="false">IF(B455="","",B455&amp;"|"&amp;COUNTIF(B$2:B455,B455))</f>
        <v/>
      </c>
    </row>
    <row r="456" customFormat="false" ht="15" hidden="false" customHeight="false" outlineLevel="0" collapsed="false">
      <c r="A456" s="5"/>
      <c r="B456" s="6"/>
      <c r="C456" s="6"/>
      <c r="D456" s="6"/>
      <c r="E456" s="7" t="str">
        <f aca="false">IF(D456="","",IFERROR(INDEX(Товары!$B$2:$B$200,MATCH(D456,Товары!$A$2:$A$200,0)),"нет в справочнике"))</f>
        <v/>
      </c>
      <c r="F456" s="6"/>
      <c r="G456" s="8" t="str">
        <f aca="false">IF(D456="","",IFERROR(INDEX(Товары!$C$2:$C$200,MATCH(D456,Товары!$A$2:$A$200,0)),0))</f>
        <v/>
      </c>
      <c r="H456" s="8" t="str">
        <f aca="false">IF(D456="","",F456*G456)</f>
        <v/>
      </c>
      <c r="I456" s="8" t="str">
        <f aca="false">IF(D456="","",F456*IFERROR(INDEX(Товары!$D$2:$D$200,MATCH(D456,Товары!$A$2:$A$200,0)),0))</f>
        <v/>
      </c>
      <c r="J456" s="8" t="str">
        <f aca="false">IF(D456="","",H456-I456)</f>
        <v/>
      </c>
      <c r="K456" s="7" t="str">
        <f aca="false">IF(A456="","",MONTH(A456))</f>
        <v/>
      </c>
      <c r="L456" s="7" t="str">
        <f aca="false">IF(A456="","",YEAR(A456))</f>
        <v/>
      </c>
      <c r="M456" s="9" t="str">
        <f aca="false">IF(B456="","",B456&amp;"|"&amp;COUNTIF(B$2:B456,B456))</f>
        <v/>
      </c>
    </row>
    <row r="457" customFormat="false" ht="15" hidden="false" customHeight="false" outlineLevel="0" collapsed="false">
      <c r="A457" s="5"/>
      <c r="B457" s="6"/>
      <c r="C457" s="6"/>
      <c r="D457" s="6"/>
      <c r="E457" s="7" t="str">
        <f aca="false">IF(D457="","",IFERROR(INDEX(Товары!$B$2:$B$200,MATCH(D457,Товары!$A$2:$A$200,0)),"нет в справочнике"))</f>
        <v/>
      </c>
      <c r="F457" s="6"/>
      <c r="G457" s="8" t="str">
        <f aca="false">IF(D457="","",IFERROR(INDEX(Товары!$C$2:$C$200,MATCH(D457,Товары!$A$2:$A$200,0)),0))</f>
        <v/>
      </c>
      <c r="H457" s="8" t="str">
        <f aca="false">IF(D457="","",F457*G457)</f>
        <v/>
      </c>
      <c r="I457" s="8" t="str">
        <f aca="false">IF(D457="","",F457*IFERROR(INDEX(Товары!$D$2:$D$200,MATCH(D457,Товары!$A$2:$A$200,0)),0))</f>
        <v/>
      </c>
      <c r="J457" s="8" t="str">
        <f aca="false">IF(D457="","",H457-I457)</f>
        <v/>
      </c>
      <c r="K457" s="7" t="str">
        <f aca="false">IF(A457="","",MONTH(A457))</f>
        <v/>
      </c>
      <c r="L457" s="7" t="str">
        <f aca="false">IF(A457="","",YEAR(A457))</f>
        <v/>
      </c>
      <c r="M457" s="9" t="str">
        <f aca="false">IF(B457="","",B457&amp;"|"&amp;COUNTIF(B$2:B457,B457))</f>
        <v/>
      </c>
    </row>
    <row r="458" customFormat="false" ht="15" hidden="false" customHeight="false" outlineLevel="0" collapsed="false">
      <c r="A458" s="5"/>
      <c r="B458" s="6"/>
      <c r="C458" s="6"/>
      <c r="D458" s="6"/>
      <c r="E458" s="7" t="str">
        <f aca="false">IF(D458="","",IFERROR(INDEX(Товары!$B$2:$B$200,MATCH(D458,Товары!$A$2:$A$200,0)),"нет в справочнике"))</f>
        <v/>
      </c>
      <c r="F458" s="6"/>
      <c r="G458" s="8" t="str">
        <f aca="false">IF(D458="","",IFERROR(INDEX(Товары!$C$2:$C$200,MATCH(D458,Товары!$A$2:$A$200,0)),0))</f>
        <v/>
      </c>
      <c r="H458" s="8" t="str">
        <f aca="false">IF(D458="","",F458*G458)</f>
        <v/>
      </c>
      <c r="I458" s="8" t="str">
        <f aca="false">IF(D458="","",F458*IFERROR(INDEX(Товары!$D$2:$D$200,MATCH(D458,Товары!$A$2:$A$200,0)),0))</f>
        <v/>
      </c>
      <c r="J458" s="8" t="str">
        <f aca="false">IF(D458="","",H458-I458)</f>
        <v/>
      </c>
      <c r="K458" s="7" t="str">
        <f aca="false">IF(A458="","",MONTH(A458))</f>
        <v/>
      </c>
      <c r="L458" s="7" t="str">
        <f aca="false">IF(A458="","",YEAR(A458))</f>
        <v/>
      </c>
      <c r="M458" s="9" t="str">
        <f aca="false">IF(B458="","",B458&amp;"|"&amp;COUNTIF(B$2:B458,B458))</f>
        <v/>
      </c>
    </row>
    <row r="459" customFormat="false" ht="15" hidden="false" customHeight="false" outlineLevel="0" collapsed="false">
      <c r="A459" s="5"/>
      <c r="B459" s="6"/>
      <c r="C459" s="6"/>
      <c r="D459" s="6"/>
      <c r="E459" s="7" t="str">
        <f aca="false">IF(D459="","",IFERROR(INDEX(Товары!$B$2:$B$200,MATCH(D459,Товары!$A$2:$A$200,0)),"нет в справочнике"))</f>
        <v/>
      </c>
      <c r="F459" s="6"/>
      <c r="G459" s="8" t="str">
        <f aca="false">IF(D459="","",IFERROR(INDEX(Товары!$C$2:$C$200,MATCH(D459,Товары!$A$2:$A$200,0)),0))</f>
        <v/>
      </c>
      <c r="H459" s="8" t="str">
        <f aca="false">IF(D459="","",F459*G459)</f>
        <v/>
      </c>
      <c r="I459" s="8" t="str">
        <f aca="false">IF(D459="","",F459*IFERROR(INDEX(Товары!$D$2:$D$200,MATCH(D459,Товары!$A$2:$A$200,0)),0))</f>
        <v/>
      </c>
      <c r="J459" s="8" t="str">
        <f aca="false">IF(D459="","",H459-I459)</f>
        <v/>
      </c>
      <c r="K459" s="7" t="str">
        <f aca="false">IF(A459="","",MONTH(A459))</f>
        <v/>
      </c>
      <c r="L459" s="7" t="str">
        <f aca="false">IF(A459="","",YEAR(A459))</f>
        <v/>
      </c>
      <c r="M459" s="9" t="str">
        <f aca="false">IF(B459="","",B459&amp;"|"&amp;COUNTIF(B$2:B459,B459))</f>
        <v/>
      </c>
    </row>
    <row r="460" customFormat="false" ht="15" hidden="false" customHeight="false" outlineLevel="0" collapsed="false">
      <c r="A460" s="5"/>
      <c r="B460" s="6"/>
      <c r="C460" s="6"/>
      <c r="D460" s="6"/>
      <c r="E460" s="7" t="str">
        <f aca="false">IF(D460="","",IFERROR(INDEX(Товары!$B$2:$B$200,MATCH(D460,Товары!$A$2:$A$200,0)),"нет в справочнике"))</f>
        <v/>
      </c>
      <c r="F460" s="6"/>
      <c r="G460" s="8" t="str">
        <f aca="false">IF(D460="","",IFERROR(INDEX(Товары!$C$2:$C$200,MATCH(D460,Товары!$A$2:$A$200,0)),0))</f>
        <v/>
      </c>
      <c r="H460" s="8" t="str">
        <f aca="false">IF(D460="","",F460*G460)</f>
        <v/>
      </c>
      <c r="I460" s="8" t="str">
        <f aca="false">IF(D460="","",F460*IFERROR(INDEX(Товары!$D$2:$D$200,MATCH(D460,Товары!$A$2:$A$200,0)),0))</f>
        <v/>
      </c>
      <c r="J460" s="8" t="str">
        <f aca="false">IF(D460="","",H460-I460)</f>
        <v/>
      </c>
      <c r="K460" s="7" t="str">
        <f aca="false">IF(A460="","",MONTH(A460))</f>
        <v/>
      </c>
      <c r="L460" s="7" t="str">
        <f aca="false">IF(A460="","",YEAR(A460))</f>
        <v/>
      </c>
      <c r="M460" s="9" t="str">
        <f aca="false">IF(B460="","",B460&amp;"|"&amp;COUNTIF(B$2:B460,B460))</f>
        <v/>
      </c>
    </row>
    <row r="461" customFormat="false" ht="15" hidden="false" customHeight="false" outlineLevel="0" collapsed="false">
      <c r="A461" s="5"/>
      <c r="B461" s="6"/>
      <c r="C461" s="6"/>
      <c r="D461" s="6"/>
      <c r="E461" s="7" t="str">
        <f aca="false">IF(D461="","",IFERROR(INDEX(Товары!$B$2:$B$200,MATCH(D461,Товары!$A$2:$A$200,0)),"нет в справочнике"))</f>
        <v/>
      </c>
      <c r="F461" s="6"/>
      <c r="G461" s="8" t="str">
        <f aca="false">IF(D461="","",IFERROR(INDEX(Товары!$C$2:$C$200,MATCH(D461,Товары!$A$2:$A$200,0)),0))</f>
        <v/>
      </c>
      <c r="H461" s="8" t="str">
        <f aca="false">IF(D461="","",F461*G461)</f>
        <v/>
      </c>
      <c r="I461" s="8" t="str">
        <f aca="false">IF(D461="","",F461*IFERROR(INDEX(Товары!$D$2:$D$200,MATCH(D461,Товары!$A$2:$A$200,0)),0))</f>
        <v/>
      </c>
      <c r="J461" s="8" t="str">
        <f aca="false">IF(D461="","",H461-I461)</f>
        <v/>
      </c>
      <c r="K461" s="7" t="str">
        <f aca="false">IF(A461="","",MONTH(A461))</f>
        <v/>
      </c>
      <c r="L461" s="7" t="str">
        <f aca="false">IF(A461="","",YEAR(A461))</f>
        <v/>
      </c>
      <c r="M461" s="9" t="str">
        <f aca="false">IF(B461="","",B461&amp;"|"&amp;COUNTIF(B$2:B461,B461))</f>
        <v/>
      </c>
    </row>
    <row r="462" customFormat="false" ht="15" hidden="false" customHeight="false" outlineLevel="0" collapsed="false">
      <c r="A462" s="5"/>
      <c r="B462" s="6"/>
      <c r="C462" s="6"/>
      <c r="D462" s="6"/>
      <c r="E462" s="7" t="str">
        <f aca="false">IF(D462="","",IFERROR(INDEX(Товары!$B$2:$B$200,MATCH(D462,Товары!$A$2:$A$200,0)),"нет в справочнике"))</f>
        <v/>
      </c>
      <c r="F462" s="6"/>
      <c r="G462" s="8" t="str">
        <f aca="false">IF(D462="","",IFERROR(INDEX(Товары!$C$2:$C$200,MATCH(D462,Товары!$A$2:$A$200,0)),0))</f>
        <v/>
      </c>
      <c r="H462" s="8" t="str">
        <f aca="false">IF(D462="","",F462*G462)</f>
        <v/>
      </c>
      <c r="I462" s="8" t="str">
        <f aca="false">IF(D462="","",F462*IFERROR(INDEX(Товары!$D$2:$D$200,MATCH(D462,Товары!$A$2:$A$200,0)),0))</f>
        <v/>
      </c>
      <c r="J462" s="8" t="str">
        <f aca="false">IF(D462="","",H462-I462)</f>
        <v/>
      </c>
      <c r="K462" s="7" t="str">
        <f aca="false">IF(A462="","",MONTH(A462))</f>
        <v/>
      </c>
      <c r="L462" s="7" t="str">
        <f aca="false">IF(A462="","",YEAR(A462))</f>
        <v/>
      </c>
      <c r="M462" s="9" t="str">
        <f aca="false">IF(B462="","",B462&amp;"|"&amp;COUNTIF(B$2:B462,B462))</f>
        <v/>
      </c>
    </row>
    <row r="463" customFormat="false" ht="15" hidden="false" customHeight="false" outlineLevel="0" collapsed="false">
      <c r="A463" s="5"/>
      <c r="B463" s="6"/>
      <c r="C463" s="6"/>
      <c r="D463" s="6"/>
      <c r="E463" s="7" t="str">
        <f aca="false">IF(D463="","",IFERROR(INDEX(Товары!$B$2:$B$200,MATCH(D463,Товары!$A$2:$A$200,0)),"нет в справочнике"))</f>
        <v/>
      </c>
      <c r="F463" s="6"/>
      <c r="G463" s="8" t="str">
        <f aca="false">IF(D463="","",IFERROR(INDEX(Товары!$C$2:$C$200,MATCH(D463,Товары!$A$2:$A$200,0)),0))</f>
        <v/>
      </c>
      <c r="H463" s="8" t="str">
        <f aca="false">IF(D463="","",F463*G463)</f>
        <v/>
      </c>
      <c r="I463" s="8" t="str">
        <f aca="false">IF(D463="","",F463*IFERROR(INDEX(Товары!$D$2:$D$200,MATCH(D463,Товары!$A$2:$A$200,0)),0))</f>
        <v/>
      </c>
      <c r="J463" s="8" t="str">
        <f aca="false">IF(D463="","",H463-I463)</f>
        <v/>
      </c>
      <c r="K463" s="7" t="str">
        <f aca="false">IF(A463="","",MONTH(A463))</f>
        <v/>
      </c>
      <c r="L463" s="7" t="str">
        <f aca="false">IF(A463="","",YEAR(A463))</f>
        <v/>
      </c>
      <c r="M463" s="9" t="str">
        <f aca="false">IF(B463="","",B463&amp;"|"&amp;COUNTIF(B$2:B463,B463))</f>
        <v/>
      </c>
    </row>
    <row r="464" customFormat="false" ht="15" hidden="false" customHeight="false" outlineLevel="0" collapsed="false">
      <c r="A464" s="5"/>
      <c r="B464" s="6"/>
      <c r="C464" s="6"/>
      <c r="D464" s="6"/>
      <c r="E464" s="7" t="str">
        <f aca="false">IF(D464="","",IFERROR(INDEX(Товары!$B$2:$B$200,MATCH(D464,Товары!$A$2:$A$200,0)),"нет в справочнике"))</f>
        <v/>
      </c>
      <c r="F464" s="6"/>
      <c r="G464" s="8" t="str">
        <f aca="false">IF(D464="","",IFERROR(INDEX(Товары!$C$2:$C$200,MATCH(D464,Товары!$A$2:$A$200,0)),0))</f>
        <v/>
      </c>
      <c r="H464" s="8" t="str">
        <f aca="false">IF(D464="","",F464*G464)</f>
        <v/>
      </c>
      <c r="I464" s="8" t="str">
        <f aca="false">IF(D464="","",F464*IFERROR(INDEX(Товары!$D$2:$D$200,MATCH(D464,Товары!$A$2:$A$200,0)),0))</f>
        <v/>
      </c>
      <c r="J464" s="8" t="str">
        <f aca="false">IF(D464="","",H464-I464)</f>
        <v/>
      </c>
      <c r="K464" s="7" t="str">
        <f aca="false">IF(A464="","",MONTH(A464))</f>
        <v/>
      </c>
      <c r="L464" s="7" t="str">
        <f aca="false">IF(A464="","",YEAR(A464))</f>
        <v/>
      </c>
      <c r="M464" s="9" t="str">
        <f aca="false">IF(B464="","",B464&amp;"|"&amp;COUNTIF(B$2:B464,B464))</f>
        <v/>
      </c>
    </row>
    <row r="465" customFormat="false" ht="15" hidden="false" customHeight="false" outlineLevel="0" collapsed="false">
      <c r="A465" s="5"/>
      <c r="B465" s="6"/>
      <c r="C465" s="6"/>
      <c r="D465" s="6"/>
      <c r="E465" s="7" t="str">
        <f aca="false">IF(D465="","",IFERROR(INDEX(Товары!$B$2:$B$200,MATCH(D465,Товары!$A$2:$A$200,0)),"нет в справочнике"))</f>
        <v/>
      </c>
      <c r="F465" s="6"/>
      <c r="G465" s="8" t="str">
        <f aca="false">IF(D465="","",IFERROR(INDEX(Товары!$C$2:$C$200,MATCH(D465,Товары!$A$2:$A$200,0)),0))</f>
        <v/>
      </c>
      <c r="H465" s="8" t="str">
        <f aca="false">IF(D465="","",F465*G465)</f>
        <v/>
      </c>
      <c r="I465" s="8" t="str">
        <f aca="false">IF(D465="","",F465*IFERROR(INDEX(Товары!$D$2:$D$200,MATCH(D465,Товары!$A$2:$A$200,0)),0))</f>
        <v/>
      </c>
      <c r="J465" s="8" t="str">
        <f aca="false">IF(D465="","",H465-I465)</f>
        <v/>
      </c>
      <c r="K465" s="7" t="str">
        <f aca="false">IF(A465="","",MONTH(A465))</f>
        <v/>
      </c>
      <c r="L465" s="7" t="str">
        <f aca="false">IF(A465="","",YEAR(A465))</f>
        <v/>
      </c>
      <c r="M465" s="9" t="str">
        <f aca="false">IF(B465="","",B465&amp;"|"&amp;COUNTIF(B$2:B465,B465))</f>
        <v/>
      </c>
    </row>
    <row r="466" customFormat="false" ht="15" hidden="false" customHeight="false" outlineLevel="0" collapsed="false">
      <c r="A466" s="5"/>
      <c r="B466" s="6"/>
      <c r="C466" s="6"/>
      <c r="D466" s="6"/>
      <c r="E466" s="7" t="str">
        <f aca="false">IF(D466="","",IFERROR(INDEX(Товары!$B$2:$B$200,MATCH(D466,Товары!$A$2:$A$200,0)),"нет в справочнике"))</f>
        <v/>
      </c>
      <c r="F466" s="6"/>
      <c r="G466" s="8" t="str">
        <f aca="false">IF(D466="","",IFERROR(INDEX(Товары!$C$2:$C$200,MATCH(D466,Товары!$A$2:$A$200,0)),0))</f>
        <v/>
      </c>
      <c r="H466" s="8" t="str">
        <f aca="false">IF(D466="","",F466*G466)</f>
        <v/>
      </c>
      <c r="I466" s="8" t="str">
        <f aca="false">IF(D466="","",F466*IFERROR(INDEX(Товары!$D$2:$D$200,MATCH(D466,Товары!$A$2:$A$200,0)),0))</f>
        <v/>
      </c>
      <c r="J466" s="8" t="str">
        <f aca="false">IF(D466="","",H466-I466)</f>
        <v/>
      </c>
      <c r="K466" s="7" t="str">
        <f aca="false">IF(A466="","",MONTH(A466))</f>
        <v/>
      </c>
      <c r="L466" s="7" t="str">
        <f aca="false">IF(A466="","",YEAR(A466))</f>
        <v/>
      </c>
      <c r="M466" s="9" t="str">
        <f aca="false">IF(B466="","",B466&amp;"|"&amp;COUNTIF(B$2:B466,B466))</f>
        <v/>
      </c>
    </row>
    <row r="467" customFormat="false" ht="15" hidden="false" customHeight="false" outlineLevel="0" collapsed="false">
      <c r="A467" s="5"/>
      <c r="B467" s="6"/>
      <c r="C467" s="6"/>
      <c r="D467" s="6"/>
      <c r="E467" s="7" t="str">
        <f aca="false">IF(D467="","",IFERROR(INDEX(Товары!$B$2:$B$200,MATCH(D467,Товары!$A$2:$A$200,0)),"нет в справочнике"))</f>
        <v/>
      </c>
      <c r="F467" s="6"/>
      <c r="G467" s="8" t="str">
        <f aca="false">IF(D467="","",IFERROR(INDEX(Товары!$C$2:$C$200,MATCH(D467,Товары!$A$2:$A$200,0)),0))</f>
        <v/>
      </c>
      <c r="H467" s="8" t="str">
        <f aca="false">IF(D467="","",F467*G467)</f>
        <v/>
      </c>
      <c r="I467" s="8" t="str">
        <f aca="false">IF(D467="","",F467*IFERROR(INDEX(Товары!$D$2:$D$200,MATCH(D467,Товары!$A$2:$A$200,0)),0))</f>
        <v/>
      </c>
      <c r="J467" s="8" t="str">
        <f aca="false">IF(D467="","",H467-I467)</f>
        <v/>
      </c>
      <c r="K467" s="7" t="str">
        <f aca="false">IF(A467="","",MONTH(A467))</f>
        <v/>
      </c>
      <c r="L467" s="7" t="str">
        <f aca="false">IF(A467="","",YEAR(A467))</f>
        <v/>
      </c>
      <c r="M467" s="9" t="str">
        <f aca="false">IF(B467="","",B467&amp;"|"&amp;COUNTIF(B$2:B467,B467))</f>
        <v/>
      </c>
    </row>
    <row r="468" customFormat="false" ht="15" hidden="false" customHeight="false" outlineLevel="0" collapsed="false">
      <c r="A468" s="5"/>
      <c r="B468" s="6"/>
      <c r="C468" s="6"/>
      <c r="D468" s="6"/>
      <c r="E468" s="7" t="str">
        <f aca="false">IF(D468="","",IFERROR(INDEX(Товары!$B$2:$B$200,MATCH(D468,Товары!$A$2:$A$200,0)),"нет в справочнике"))</f>
        <v/>
      </c>
      <c r="F468" s="6"/>
      <c r="G468" s="8" t="str">
        <f aca="false">IF(D468="","",IFERROR(INDEX(Товары!$C$2:$C$200,MATCH(D468,Товары!$A$2:$A$200,0)),0))</f>
        <v/>
      </c>
      <c r="H468" s="8" t="str">
        <f aca="false">IF(D468="","",F468*G468)</f>
        <v/>
      </c>
      <c r="I468" s="8" t="str">
        <f aca="false">IF(D468="","",F468*IFERROR(INDEX(Товары!$D$2:$D$200,MATCH(D468,Товары!$A$2:$A$200,0)),0))</f>
        <v/>
      </c>
      <c r="J468" s="8" t="str">
        <f aca="false">IF(D468="","",H468-I468)</f>
        <v/>
      </c>
      <c r="K468" s="7" t="str">
        <f aca="false">IF(A468="","",MONTH(A468))</f>
        <v/>
      </c>
      <c r="L468" s="7" t="str">
        <f aca="false">IF(A468="","",YEAR(A468))</f>
        <v/>
      </c>
      <c r="M468" s="9" t="str">
        <f aca="false">IF(B468="","",B468&amp;"|"&amp;COUNTIF(B$2:B468,B468))</f>
        <v/>
      </c>
    </row>
    <row r="469" customFormat="false" ht="15" hidden="false" customHeight="false" outlineLevel="0" collapsed="false">
      <c r="A469" s="5"/>
      <c r="B469" s="6"/>
      <c r="C469" s="6"/>
      <c r="D469" s="6"/>
      <c r="E469" s="7" t="str">
        <f aca="false">IF(D469="","",IFERROR(INDEX(Товары!$B$2:$B$200,MATCH(D469,Товары!$A$2:$A$200,0)),"нет в справочнике"))</f>
        <v/>
      </c>
      <c r="F469" s="6"/>
      <c r="G469" s="8" t="str">
        <f aca="false">IF(D469="","",IFERROR(INDEX(Товары!$C$2:$C$200,MATCH(D469,Товары!$A$2:$A$200,0)),0))</f>
        <v/>
      </c>
      <c r="H469" s="8" t="str">
        <f aca="false">IF(D469="","",F469*G469)</f>
        <v/>
      </c>
      <c r="I469" s="8" t="str">
        <f aca="false">IF(D469="","",F469*IFERROR(INDEX(Товары!$D$2:$D$200,MATCH(D469,Товары!$A$2:$A$200,0)),0))</f>
        <v/>
      </c>
      <c r="J469" s="8" t="str">
        <f aca="false">IF(D469="","",H469-I469)</f>
        <v/>
      </c>
      <c r="K469" s="7" t="str">
        <f aca="false">IF(A469="","",MONTH(A469))</f>
        <v/>
      </c>
      <c r="L469" s="7" t="str">
        <f aca="false">IF(A469="","",YEAR(A469))</f>
        <v/>
      </c>
      <c r="M469" s="9" t="str">
        <f aca="false">IF(B469="","",B469&amp;"|"&amp;COUNTIF(B$2:B469,B469))</f>
        <v/>
      </c>
    </row>
    <row r="470" customFormat="false" ht="15" hidden="false" customHeight="false" outlineLevel="0" collapsed="false">
      <c r="A470" s="5"/>
      <c r="B470" s="6"/>
      <c r="C470" s="6"/>
      <c r="D470" s="6"/>
      <c r="E470" s="7" t="str">
        <f aca="false">IF(D470="","",IFERROR(INDEX(Товары!$B$2:$B$200,MATCH(D470,Товары!$A$2:$A$200,0)),"нет в справочнике"))</f>
        <v/>
      </c>
      <c r="F470" s="6"/>
      <c r="G470" s="8" t="str">
        <f aca="false">IF(D470="","",IFERROR(INDEX(Товары!$C$2:$C$200,MATCH(D470,Товары!$A$2:$A$200,0)),0))</f>
        <v/>
      </c>
      <c r="H470" s="8" t="str">
        <f aca="false">IF(D470="","",F470*G470)</f>
        <v/>
      </c>
      <c r="I470" s="8" t="str">
        <f aca="false">IF(D470="","",F470*IFERROR(INDEX(Товары!$D$2:$D$200,MATCH(D470,Товары!$A$2:$A$200,0)),0))</f>
        <v/>
      </c>
      <c r="J470" s="8" t="str">
        <f aca="false">IF(D470="","",H470-I470)</f>
        <v/>
      </c>
      <c r="K470" s="7" t="str">
        <f aca="false">IF(A470="","",MONTH(A470))</f>
        <v/>
      </c>
      <c r="L470" s="7" t="str">
        <f aca="false">IF(A470="","",YEAR(A470))</f>
        <v/>
      </c>
      <c r="M470" s="9" t="str">
        <f aca="false">IF(B470="","",B470&amp;"|"&amp;COUNTIF(B$2:B470,B470))</f>
        <v/>
      </c>
    </row>
    <row r="471" customFormat="false" ht="15" hidden="false" customHeight="false" outlineLevel="0" collapsed="false">
      <c r="A471" s="5"/>
      <c r="B471" s="6"/>
      <c r="C471" s="6"/>
      <c r="D471" s="6"/>
      <c r="E471" s="7" t="str">
        <f aca="false">IF(D471="","",IFERROR(INDEX(Товары!$B$2:$B$200,MATCH(D471,Товары!$A$2:$A$200,0)),"нет в справочнике"))</f>
        <v/>
      </c>
      <c r="F471" s="6"/>
      <c r="G471" s="8" t="str">
        <f aca="false">IF(D471="","",IFERROR(INDEX(Товары!$C$2:$C$200,MATCH(D471,Товары!$A$2:$A$200,0)),0))</f>
        <v/>
      </c>
      <c r="H471" s="8" t="str">
        <f aca="false">IF(D471="","",F471*G471)</f>
        <v/>
      </c>
      <c r="I471" s="8" t="str">
        <f aca="false">IF(D471="","",F471*IFERROR(INDEX(Товары!$D$2:$D$200,MATCH(D471,Товары!$A$2:$A$200,0)),0))</f>
        <v/>
      </c>
      <c r="J471" s="8" t="str">
        <f aca="false">IF(D471="","",H471-I471)</f>
        <v/>
      </c>
      <c r="K471" s="7" t="str">
        <f aca="false">IF(A471="","",MONTH(A471))</f>
        <v/>
      </c>
      <c r="L471" s="7" t="str">
        <f aca="false">IF(A471="","",YEAR(A471))</f>
        <v/>
      </c>
      <c r="M471" s="9" t="str">
        <f aca="false">IF(B471="","",B471&amp;"|"&amp;COUNTIF(B$2:B471,B471))</f>
        <v/>
      </c>
    </row>
    <row r="472" customFormat="false" ht="15" hidden="false" customHeight="false" outlineLevel="0" collapsed="false">
      <c r="A472" s="5"/>
      <c r="B472" s="6"/>
      <c r="C472" s="6"/>
      <c r="D472" s="6"/>
      <c r="E472" s="7" t="str">
        <f aca="false">IF(D472="","",IFERROR(INDEX(Товары!$B$2:$B$200,MATCH(D472,Товары!$A$2:$A$200,0)),"нет в справочнике"))</f>
        <v/>
      </c>
      <c r="F472" s="6"/>
      <c r="G472" s="8" t="str">
        <f aca="false">IF(D472="","",IFERROR(INDEX(Товары!$C$2:$C$200,MATCH(D472,Товары!$A$2:$A$200,0)),0))</f>
        <v/>
      </c>
      <c r="H472" s="8" t="str">
        <f aca="false">IF(D472="","",F472*G472)</f>
        <v/>
      </c>
      <c r="I472" s="8" t="str">
        <f aca="false">IF(D472="","",F472*IFERROR(INDEX(Товары!$D$2:$D$200,MATCH(D472,Товары!$A$2:$A$200,0)),0))</f>
        <v/>
      </c>
      <c r="J472" s="8" t="str">
        <f aca="false">IF(D472="","",H472-I472)</f>
        <v/>
      </c>
      <c r="K472" s="7" t="str">
        <f aca="false">IF(A472="","",MONTH(A472))</f>
        <v/>
      </c>
      <c r="L472" s="7" t="str">
        <f aca="false">IF(A472="","",YEAR(A472))</f>
        <v/>
      </c>
      <c r="M472" s="9" t="str">
        <f aca="false">IF(B472="","",B472&amp;"|"&amp;COUNTIF(B$2:B472,B472))</f>
        <v/>
      </c>
    </row>
    <row r="473" customFormat="false" ht="15" hidden="false" customHeight="false" outlineLevel="0" collapsed="false">
      <c r="A473" s="5"/>
      <c r="B473" s="6"/>
      <c r="C473" s="6"/>
      <c r="D473" s="6"/>
      <c r="E473" s="7" t="str">
        <f aca="false">IF(D473="","",IFERROR(INDEX(Товары!$B$2:$B$200,MATCH(D473,Товары!$A$2:$A$200,0)),"нет в справочнике"))</f>
        <v/>
      </c>
      <c r="F473" s="6"/>
      <c r="G473" s="8" t="str">
        <f aca="false">IF(D473="","",IFERROR(INDEX(Товары!$C$2:$C$200,MATCH(D473,Товары!$A$2:$A$200,0)),0))</f>
        <v/>
      </c>
      <c r="H473" s="8" t="str">
        <f aca="false">IF(D473="","",F473*G473)</f>
        <v/>
      </c>
      <c r="I473" s="8" t="str">
        <f aca="false">IF(D473="","",F473*IFERROR(INDEX(Товары!$D$2:$D$200,MATCH(D473,Товары!$A$2:$A$200,0)),0))</f>
        <v/>
      </c>
      <c r="J473" s="8" t="str">
        <f aca="false">IF(D473="","",H473-I473)</f>
        <v/>
      </c>
      <c r="K473" s="7" t="str">
        <f aca="false">IF(A473="","",MONTH(A473))</f>
        <v/>
      </c>
      <c r="L473" s="7" t="str">
        <f aca="false">IF(A473="","",YEAR(A473))</f>
        <v/>
      </c>
      <c r="M473" s="9" t="str">
        <f aca="false">IF(B473="","",B473&amp;"|"&amp;COUNTIF(B$2:B473,B473))</f>
        <v/>
      </c>
    </row>
    <row r="474" customFormat="false" ht="15" hidden="false" customHeight="false" outlineLevel="0" collapsed="false">
      <c r="A474" s="5"/>
      <c r="B474" s="6"/>
      <c r="C474" s="6"/>
      <c r="D474" s="6"/>
      <c r="E474" s="7" t="str">
        <f aca="false">IF(D474="","",IFERROR(INDEX(Товары!$B$2:$B$200,MATCH(D474,Товары!$A$2:$A$200,0)),"нет в справочнике"))</f>
        <v/>
      </c>
      <c r="F474" s="6"/>
      <c r="G474" s="8" t="str">
        <f aca="false">IF(D474="","",IFERROR(INDEX(Товары!$C$2:$C$200,MATCH(D474,Товары!$A$2:$A$200,0)),0))</f>
        <v/>
      </c>
      <c r="H474" s="8" t="str">
        <f aca="false">IF(D474="","",F474*G474)</f>
        <v/>
      </c>
      <c r="I474" s="8" t="str">
        <f aca="false">IF(D474="","",F474*IFERROR(INDEX(Товары!$D$2:$D$200,MATCH(D474,Товары!$A$2:$A$200,0)),0))</f>
        <v/>
      </c>
      <c r="J474" s="8" t="str">
        <f aca="false">IF(D474="","",H474-I474)</f>
        <v/>
      </c>
      <c r="K474" s="7" t="str">
        <f aca="false">IF(A474="","",MONTH(A474))</f>
        <v/>
      </c>
      <c r="L474" s="7" t="str">
        <f aca="false">IF(A474="","",YEAR(A474))</f>
        <v/>
      </c>
      <c r="M474" s="9" t="str">
        <f aca="false">IF(B474="","",B474&amp;"|"&amp;COUNTIF(B$2:B474,B474))</f>
        <v/>
      </c>
    </row>
    <row r="475" customFormat="false" ht="15" hidden="false" customHeight="false" outlineLevel="0" collapsed="false">
      <c r="A475" s="5"/>
      <c r="B475" s="6"/>
      <c r="C475" s="6"/>
      <c r="D475" s="6"/>
      <c r="E475" s="7" t="str">
        <f aca="false">IF(D475="","",IFERROR(INDEX(Товары!$B$2:$B$200,MATCH(D475,Товары!$A$2:$A$200,0)),"нет в справочнике"))</f>
        <v/>
      </c>
      <c r="F475" s="6"/>
      <c r="G475" s="8" t="str">
        <f aca="false">IF(D475="","",IFERROR(INDEX(Товары!$C$2:$C$200,MATCH(D475,Товары!$A$2:$A$200,0)),0))</f>
        <v/>
      </c>
      <c r="H475" s="8" t="str">
        <f aca="false">IF(D475="","",F475*G475)</f>
        <v/>
      </c>
      <c r="I475" s="8" t="str">
        <f aca="false">IF(D475="","",F475*IFERROR(INDEX(Товары!$D$2:$D$200,MATCH(D475,Товары!$A$2:$A$200,0)),0))</f>
        <v/>
      </c>
      <c r="J475" s="8" t="str">
        <f aca="false">IF(D475="","",H475-I475)</f>
        <v/>
      </c>
      <c r="K475" s="7" t="str">
        <f aca="false">IF(A475="","",MONTH(A475))</f>
        <v/>
      </c>
      <c r="L475" s="7" t="str">
        <f aca="false">IF(A475="","",YEAR(A475))</f>
        <v/>
      </c>
      <c r="M475" s="9" t="str">
        <f aca="false">IF(B475="","",B475&amp;"|"&amp;COUNTIF(B$2:B475,B475))</f>
        <v/>
      </c>
    </row>
    <row r="476" customFormat="false" ht="15" hidden="false" customHeight="false" outlineLevel="0" collapsed="false">
      <c r="A476" s="5"/>
      <c r="B476" s="6"/>
      <c r="C476" s="6"/>
      <c r="D476" s="6"/>
      <c r="E476" s="7" t="str">
        <f aca="false">IF(D476="","",IFERROR(INDEX(Товары!$B$2:$B$200,MATCH(D476,Товары!$A$2:$A$200,0)),"нет в справочнике"))</f>
        <v/>
      </c>
      <c r="F476" s="6"/>
      <c r="G476" s="8" t="str">
        <f aca="false">IF(D476="","",IFERROR(INDEX(Товары!$C$2:$C$200,MATCH(D476,Товары!$A$2:$A$200,0)),0))</f>
        <v/>
      </c>
      <c r="H476" s="8" t="str">
        <f aca="false">IF(D476="","",F476*G476)</f>
        <v/>
      </c>
      <c r="I476" s="8" t="str">
        <f aca="false">IF(D476="","",F476*IFERROR(INDEX(Товары!$D$2:$D$200,MATCH(D476,Товары!$A$2:$A$200,0)),0))</f>
        <v/>
      </c>
      <c r="J476" s="8" t="str">
        <f aca="false">IF(D476="","",H476-I476)</f>
        <v/>
      </c>
      <c r="K476" s="7" t="str">
        <f aca="false">IF(A476="","",MONTH(A476))</f>
        <v/>
      </c>
      <c r="L476" s="7" t="str">
        <f aca="false">IF(A476="","",YEAR(A476))</f>
        <v/>
      </c>
      <c r="M476" s="9" t="str">
        <f aca="false">IF(B476="","",B476&amp;"|"&amp;COUNTIF(B$2:B476,B476))</f>
        <v/>
      </c>
    </row>
    <row r="477" customFormat="false" ht="15" hidden="false" customHeight="false" outlineLevel="0" collapsed="false">
      <c r="A477" s="5"/>
      <c r="B477" s="6"/>
      <c r="C477" s="6"/>
      <c r="D477" s="6"/>
      <c r="E477" s="7" t="str">
        <f aca="false">IF(D477="","",IFERROR(INDEX(Товары!$B$2:$B$200,MATCH(D477,Товары!$A$2:$A$200,0)),"нет в справочнике"))</f>
        <v/>
      </c>
      <c r="F477" s="6"/>
      <c r="G477" s="8" t="str">
        <f aca="false">IF(D477="","",IFERROR(INDEX(Товары!$C$2:$C$200,MATCH(D477,Товары!$A$2:$A$200,0)),0))</f>
        <v/>
      </c>
      <c r="H477" s="8" t="str">
        <f aca="false">IF(D477="","",F477*G477)</f>
        <v/>
      </c>
      <c r="I477" s="8" t="str">
        <f aca="false">IF(D477="","",F477*IFERROR(INDEX(Товары!$D$2:$D$200,MATCH(D477,Товары!$A$2:$A$200,0)),0))</f>
        <v/>
      </c>
      <c r="J477" s="8" t="str">
        <f aca="false">IF(D477="","",H477-I477)</f>
        <v/>
      </c>
      <c r="K477" s="7" t="str">
        <f aca="false">IF(A477="","",MONTH(A477))</f>
        <v/>
      </c>
      <c r="L477" s="7" t="str">
        <f aca="false">IF(A477="","",YEAR(A477))</f>
        <v/>
      </c>
      <c r="M477" s="9" t="str">
        <f aca="false">IF(B477="","",B477&amp;"|"&amp;COUNTIF(B$2:B477,B477))</f>
        <v/>
      </c>
    </row>
    <row r="478" customFormat="false" ht="15" hidden="false" customHeight="false" outlineLevel="0" collapsed="false">
      <c r="A478" s="5"/>
      <c r="B478" s="6"/>
      <c r="C478" s="6"/>
      <c r="D478" s="6"/>
      <c r="E478" s="7" t="str">
        <f aca="false">IF(D478="","",IFERROR(INDEX(Товары!$B$2:$B$200,MATCH(D478,Товары!$A$2:$A$200,0)),"нет в справочнике"))</f>
        <v/>
      </c>
      <c r="F478" s="6"/>
      <c r="G478" s="8" t="str">
        <f aca="false">IF(D478="","",IFERROR(INDEX(Товары!$C$2:$C$200,MATCH(D478,Товары!$A$2:$A$200,0)),0))</f>
        <v/>
      </c>
      <c r="H478" s="8" t="str">
        <f aca="false">IF(D478="","",F478*G478)</f>
        <v/>
      </c>
      <c r="I478" s="8" t="str">
        <f aca="false">IF(D478="","",F478*IFERROR(INDEX(Товары!$D$2:$D$200,MATCH(D478,Товары!$A$2:$A$200,0)),0))</f>
        <v/>
      </c>
      <c r="J478" s="8" t="str">
        <f aca="false">IF(D478="","",H478-I478)</f>
        <v/>
      </c>
      <c r="K478" s="7" t="str">
        <f aca="false">IF(A478="","",MONTH(A478))</f>
        <v/>
      </c>
      <c r="L478" s="7" t="str">
        <f aca="false">IF(A478="","",YEAR(A478))</f>
        <v/>
      </c>
      <c r="M478" s="9" t="str">
        <f aca="false">IF(B478="","",B478&amp;"|"&amp;COUNTIF(B$2:B478,B478))</f>
        <v/>
      </c>
    </row>
    <row r="479" customFormat="false" ht="15" hidden="false" customHeight="false" outlineLevel="0" collapsed="false">
      <c r="A479" s="5"/>
      <c r="B479" s="6"/>
      <c r="C479" s="6"/>
      <c r="D479" s="6"/>
      <c r="E479" s="7" t="str">
        <f aca="false">IF(D479="","",IFERROR(INDEX(Товары!$B$2:$B$200,MATCH(D479,Товары!$A$2:$A$200,0)),"нет в справочнике"))</f>
        <v/>
      </c>
      <c r="F479" s="6"/>
      <c r="G479" s="8" t="str">
        <f aca="false">IF(D479="","",IFERROR(INDEX(Товары!$C$2:$C$200,MATCH(D479,Товары!$A$2:$A$200,0)),0))</f>
        <v/>
      </c>
      <c r="H479" s="8" t="str">
        <f aca="false">IF(D479="","",F479*G479)</f>
        <v/>
      </c>
      <c r="I479" s="8" t="str">
        <f aca="false">IF(D479="","",F479*IFERROR(INDEX(Товары!$D$2:$D$200,MATCH(D479,Товары!$A$2:$A$200,0)),0))</f>
        <v/>
      </c>
      <c r="J479" s="8" t="str">
        <f aca="false">IF(D479="","",H479-I479)</f>
        <v/>
      </c>
      <c r="K479" s="7" t="str">
        <f aca="false">IF(A479="","",MONTH(A479))</f>
        <v/>
      </c>
      <c r="L479" s="7" t="str">
        <f aca="false">IF(A479="","",YEAR(A479))</f>
        <v/>
      </c>
      <c r="M479" s="9" t="str">
        <f aca="false">IF(B479="","",B479&amp;"|"&amp;COUNTIF(B$2:B479,B479))</f>
        <v/>
      </c>
    </row>
    <row r="480" customFormat="false" ht="15" hidden="false" customHeight="false" outlineLevel="0" collapsed="false">
      <c r="A480" s="5"/>
      <c r="B480" s="6"/>
      <c r="C480" s="6"/>
      <c r="D480" s="6"/>
      <c r="E480" s="7" t="str">
        <f aca="false">IF(D480="","",IFERROR(INDEX(Товары!$B$2:$B$200,MATCH(D480,Товары!$A$2:$A$200,0)),"нет в справочнике"))</f>
        <v/>
      </c>
      <c r="F480" s="6"/>
      <c r="G480" s="8" t="str">
        <f aca="false">IF(D480="","",IFERROR(INDEX(Товары!$C$2:$C$200,MATCH(D480,Товары!$A$2:$A$200,0)),0))</f>
        <v/>
      </c>
      <c r="H480" s="8" t="str">
        <f aca="false">IF(D480="","",F480*G480)</f>
        <v/>
      </c>
      <c r="I480" s="8" t="str">
        <f aca="false">IF(D480="","",F480*IFERROR(INDEX(Товары!$D$2:$D$200,MATCH(D480,Товары!$A$2:$A$200,0)),0))</f>
        <v/>
      </c>
      <c r="J480" s="8" t="str">
        <f aca="false">IF(D480="","",H480-I480)</f>
        <v/>
      </c>
      <c r="K480" s="7" t="str">
        <f aca="false">IF(A480="","",MONTH(A480))</f>
        <v/>
      </c>
      <c r="L480" s="7" t="str">
        <f aca="false">IF(A480="","",YEAR(A480))</f>
        <v/>
      </c>
      <c r="M480" s="9" t="str">
        <f aca="false">IF(B480="","",B480&amp;"|"&amp;COUNTIF(B$2:B480,B480))</f>
        <v/>
      </c>
    </row>
    <row r="481" customFormat="false" ht="15" hidden="false" customHeight="false" outlineLevel="0" collapsed="false">
      <c r="A481" s="5"/>
      <c r="B481" s="6"/>
      <c r="C481" s="6"/>
      <c r="D481" s="6"/>
      <c r="E481" s="7" t="str">
        <f aca="false">IF(D481="","",IFERROR(INDEX(Товары!$B$2:$B$200,MATCH(D481,Товары!$A$2:$A$200,0)),"нет в справочнике"))</f>
        <v/>
      </c>
      <c r="F481" s="6"/>
      <c r="G481" s="8" t="str">
        <f aca="false">IF(D481="","",IFERROR(INDEX(Товары!$C$2:$C$200,MATCH(D481,Товары!$A$2:$A$200,0)),0))</f>
        <v/>
      </c>
      <c r="H481" s="8" t="str">
        <f aca="false">IF(D481="","",F481*G481)</f>
        <v/>
      </c>
      <c r="I481" s="8" t="str">
        <f aca="false">IF(D481="","",F481*IFERROR(INDEX(Товары!$D$2:$D$200,MATCH(D481,Товары!$A$2:$A$200,0)),0))</f>
        <v/>
      </c>
      <c r="J481" s="8" t="str">
        <f aca="false">IF(D481="","",H481-I481)</f>
        <v/>
      </c>
      <c r="K481" s="7" t="str">
        <f aca="false">IF(A481="","",MONTH(A481))</f>
        <v/>
      </c>
      <c r="L481" s="7" t="str">
        <f aca="false">IF(A481="","",YEAR(A481))</f>
        <v/>
      </c>
      <c r="M481" s="9" t="str">
        <f aca="false">IF(B481="","",B481&amp;"|"&amp;COUNTIF(B$2:B481,B481))</f>
        <v/>
      </c>
    </row>
    <row r="482" customFormat="false" ht="15" hidden="false" customHeight="false" outlineLevel="0" collapsed="false">
      <c r="A482" s="5"/>
      <c r="B482" s="6"/>
      <c r="C482" s="6"/>
      <c r="D482" s="6"/>
      <c r="E482" s="7" t="str">
        <f aca="false">IF(D482="","",IFERROR(INDEX(Товары!$B$2:$B$200,MATCH(D482,Товары!$A$2:$A$200,0)),"нет в справочнике"))</f>
        <v/>
      </c>
      <c r="F482" s="6"/>
      <c r="G482" s="8" t="str">
        <f aca="false">IF(D482="","",IFERROR(INDEX(Товары!$C$2:$C$200,MATCH(D482,Товары!$A$2:$A$200,0)),0))</f>
        <v/>
      </c>
      <c r="H482" s="8" t="str">
        <f aca="false">IF(D482="","",F482*G482)</f>
        <v/>
      </c>
      <c r="I482" s="8" t="str">
        <f aca="false">IF(D482="","",F482*IFERROR(INDEX(Товары!$D$2:$D$200,MATCH(D482,Товары!$A$2:$A$200,0)),0))</f>
        <v/>
      </c>
      <c r="J482" s="8" t="str">
        <f aca="false">IF(D482="","",H482-I482)</f>
        <v/>
      </c>
      <c r="K482" s="7" t="str">
        <f aca="false">IF(A482="","",MONTH(A482))</f>
        <v/>
      </c>
      <c r="L482" s="7" t="str">
        <f aca="false">IF(A482="","",YEAR(A482))</f>
        <v/>
      </c>
      <c r="M482" s="9" t="str">
        <f aca="false">IF(B482="","",B482&amp;"|"&amp;COUNTIF(B$2:B482,B482))</f>
        <v/>
      </c>
    </row>
    <row r="483" customFormat="false" ht="15" hidden="false" customHeight="false" outlineLevel="0" collapsed="false">
      <c r="A483" s="5"/>
      <c r="B483" s="6"/>
      <c r="C483" s="6"/>
      <c r="D483" s="6"/>
      <c r="E483" s="7" t="str">
        <f aca="false">IF(D483="","",IFERROR(INDEX(Товары!$B$2:$B$200,MATCH(D483,Товары!$A$2:$A$200,0)),"нет в справочнике"))</f>
        <v/>
      </c>
      <c r="F483" s="6"/>
      <c r="G483" s="8" t="str">
        <f aca="false">IF(D483="","",IFERROR(INDEX(Товары!$C$2:$C$200,MATCH(D483,Товары!$A$2:$A$200,0)),0))</f>
        <v/>
      </c>
      <c r="H483" s="8" t="str">
        <f aca="false">IF(D483="","",F483*G483)</f>
        <v/>
      </c>
      <c r="I483" s="8" t="str">
        <f aca="false">IF(D483="","",F483*IFERROR(INDEX(Товары!$D$2:$D$200,MATCH(D483,Товары!$A$2:$A$200,0)),0))</f>
        <v/>
      </c>
      <c r="J483" s="8" t="str">
        <f aca="false">IF(D483="","",H483-I483)</f>
        <v/>
      </c>
      <c r="K483" s="7" t="str">
        <f aca="false">IF(A483="","",MONTH(A483))</f>
        <v/>
      </c>
      <c r="L483" s="7" t="str">
        <f aca="false">IF(A483="","",YEAR(A483))</f>
        <v/>
      </c>
      <c r="M483" s="9" t="str">
        <f aca="false">IF(B483="","",B483&amp;"|"&amp;COUNTIF(B$2:B483,B483))</f>
        <v/>
      </c>
    </row>
    <row r="484" customFormat="false" ht="15" hidden="false" customHeight="false" outlineLevel="0" collapsed="false">
      <c r="A484" s="5"/>
      <c r="B484" s="6"/>
      <c r="C484" s="6"/>
      <c r="D484" s="6"/>
      <c r="E484" s="7" t="str">
        <f aca="false">IF(D484="","",IFERROR(INDEX(Товары!$B$2:$B$200,MATCH(D484,Товары!$A$2:$A$200,0)),"нет в справочнике"))</f>
        <v/>
      </c>
      <c r="F484" s="6"/>
      <c r="G484" s="8" t="str">
        <f aca="false">IF(D484="","",IFERROR(INDEX(Товары!$C$2:$C$200,MATCH(D484,Товары!$A$2:$A$200,0)),0))</f>
        <v/>
      </c>
      <c r="H484" s="8" t="str">
        <f aca="false">IF(D484="","",F484*G484)</f>
        <v/>
      </c>
      <c r="I484" s="8" t="str">
        <f aca="false">IF(D484="","",F484*IFERROR(INDEX(Товары!$D$2:$D$200,MATCH(D484,Товары!$A$2:$A$200,0)),0))</f>
        <v/>
      </c>
      <c r="J484" s="8" t="str">
        <f aca="false">IF(D484="","",H484-I484)</f>
        <v/>
      </c>
      <c r="K484" s="7" t="str">
        <f aca="false">IF(A484="","",MONTH(A484))</f>
        <v/>
      </c>
      <c r="L484" s="7" t="str">
        <f aca="false">IF(A484="","",YEAR(A484))</f>
        <v/>
      </c>
      <c r="M484" s="9" t="str">
        <f aca="false">IF(B484="","",B484&amp;"|"&amp;COUNTIF(B$2:B484,B484))</f>
        <v/>
      </c>
    </row>
    <row r="485" customFormat="false" ht="15" hidden="false" customHeight="false" outlineLevel="0" collapsed="false">
      <c r="A485" s="5"/>
      <c r="B485" s="6"/>
      <c r="C485" s="6"/>
      <c r="D485" s="6"/>
      <c r="E485" s="7" t="str">
        <f aca="false">IF(D485="","",IFERROR(INDEX(Товары!$B$2:$B$200,MATCH(D485,Товары!$A$2:$A$200,0)),"нет в справочнике"))</f>
        <v/>
      </c>
      <c r="F485" s="6"/>
      <c r="G485" s="8" t="str">
        <f aca="false">IF(D485="","",IFERROR(INDEX(Товары!$C$2:$C$200,MATCH(D485,Товары!$A$2:$A$200,0)),0))</f>
        <v/>
      </c>
      <c r="H485" s="8" t="str">
        <f aca="false">IF(D485="","",F485*G485)</f>
        <v/>
      </c>
      <c r="I485" s="8" t="str">
        <f aca="false">IF(D485="","",F485*IFERROR(INDEX(Товары!$D$2:$D$200,MATCH(D485,Товары!$A$2:$A$200,0)),0))</f>
        <v/>
      </c>
      <c r="J485" s="8" t="str">
        <f aca="false">IF(D485="","",H485-I485)</f>
        <v/>
      </c>
      <c r="K485" s="7" t="str">
        <f aca="false">IF(A485="","",MONTH(A485))</f>
        <v/>
      </c>
      <c r="L485" s="7" t="str">
        <f aca="false">IF(A485="","",YEAR(A485))</f>
        <v/>
      </c>
      <c r="M485" s="9" t="str">
        <f aca="false">IF(B485="","",B485&amp;"|"&amp;COUNTIF(B$2:B485,B485))</f>
        <v/>
      </c>
    </row>
    <row r="486" customFormat="false" ht="15" hidden="false" customHeight="false" outlineLevel="0" collapsed="false">
      <c r="A486" s="5"/>
      <c r="B486" s="6"/>
      <c r="C486" s="6"/>
      <c r="D486" s="6"/>
      <c r="E486" s="7" t="str">
        <f aca="false">IF(D486="","",IFERROR(INDEX(Товары!$B$2:$B$200,MATCH(D486,Товары!$A$2:$A$200,0)),"нет в справочнике"))</f>
        <v/>
      </c>
      <c r="F486" s="6"/>
      <c r="G486" s="8" t="str">
        <f aca="false">IF(D486="","",IFERROR(INDEX(Товары!$C$2:$C$200,MATCH(D486,Товары!$A$2:$A$200,0)),0))</f>
        <v/>
      </c>
      <c r="H486" s="8" t="str">
        <f aca="false">IF(D486="","",F486*G486)</f>
        <v/>
      </c>
      <c r="I486" s="8" t="str">
        <f aca="false">IF(D486="","",F486*IFERROR(INDEX(Товары!$D$2:$D$200,MATCH(D486,Товары!$A$2:$A$200,0)),0))</f>
        <v/>
      </c>
      <c r="J486" s="8" t="str">
        <f aca="false">IF(D486="","",H486-I486)</f>
        <v/>
      </c>
      <c r="K486" s="7" t="str">
        <f aca="false">IF(A486="","",MONTH(A486))</f>
        <v/>
      </c>
      <c r="L486" s="7" t="str">
        <f aca="false">IF(A486="","",YEAR(A486))</f>
        <v/>
      </c>
      <c r="M486" s="9" t="str">
        <f aca="false">IF(B486="","",B486&amp;"|"&amp;COUNTIF(B$2:B486,B486))</f>
        <v/>
      </c>
    </row>
    <row r="487" customFormat="false" ht="15" hidden="false" customHeight="false" outlineLevel="0" collapsed="false">
      <c r="A487" s="5"/>
      <c r="B487" s="6"/>
      <c r="C487" s="6"/>
      <c r="D487" s="6"/>
      <c r="E487" s="7" t="str">
        <f aca="false">IF(D487="","",IFERROR(INDEX(Товары!$B$2:$B$200,MATCH(D487,Товары!$A$2:$A$200,0)),"нет в справочнике"))</f>
        <v/>
      </c>
      <c r="F487" s="6"/>
      <c r="G487" s="8" t="str">
        <f aca="false">IF(D487="","",IFERROR(INDEX(Товары!$C$2:$C$200,MATCH(D487,Товары!$A$2:$A$200,0)),0))</f>
        <v/>
      </c>
      <c r="H487" s="8" t="str">
        <f aca="false">IF(D487="","",F487*G487)</f>
        <v/>
      </c>
      <c r="I487" s="8" t="str">
        <f aca="false">IF(D487="","",F487*IFERROR(INDEX(Товары!$D$2:$D$200,MATCH(D487,Товары!$A$2:$A$200,0)),0))</f>
        <v/>
      </c>
      <c r="J487" s="8" t="str">
        <f aca="false">IF(D487="","",H487-I487)</f>
        <v/>
      </c>
      <c r="K487" s="7" t="str">
        <f aca="false">IF(A487="","",MONTH(A487))</f>
        <v/>
      </c>
      <c r="L487" s="7" t="str">
        <f aca="false">IF(A487="","",YEAR(A487))</f>
        <v/>
      </c>
      <c r="M487" s="9" t="str">
        <f aca="false">IF(B487="","",B487&amp;"|"&amp;COUNTIF(B$2:B487,B487))</f>
        <v/>
      </c>
    </row>
    <row r="488" customFormat="false" ht="15" hidden="false" customHeight="false" outlineLevel="0" collapsed="false">
      <c r="A488" s="5"/>
      <c r="B488" s="6"/>
      <c r="C488" s="6"/>
      <c r="D488" s="6"/>
      <c r="E488" s="7" t="str">
        <f aca="false">IF(D488="","",IFERROR(INDEX(Товары!$B$2:$B$200,MATCH(D488,Товары!$A$2:$A$200,0)),"нет в справочнике"))</f>
        <v/>
      </c>
      <c r="F488" s="6"/>
      <c r="G488" s="8" t="str">
        <f aca="false">IF(D488="","",IFERROR(INDEX(Товары!$C$2:$C$200,MATCH(D488,Товары!$A$2:$A$200,0)),0))</f>
        <v/>
      </c>
      <c r="H488" s="8" t="str">
        <f aca="false">IF(D488="","",F488*G488)</f>
        <v/>
      </c>
      <c r="I488" s="8" t="str">
        <f aca="false">IF(D488="","",F488*IFERROR(INDEX(Товары!$D$2:$D$200,MATCH(D488,Товары!$A$2:$A$200,0)),0))</f>
        <v/>
      </c>
      <c r="J488" s="8" t="str">
        <f aca="false">IF(D488="","",H488-I488)</f>
        <v/>
      </c>
      <c r="K488" s="7" t="str">
        <f aca="false">IF(A488="","",MONTH(A488))</f>
        <v/>
      </c>
      <c r="L488" s="7" t="str">
        <f aca="false">IF(A488="","",YEAR(A488))</f>
        <v/>
      </c>
      <c r="M488" s="9" t="str">
        <f aca="false">IF(B488="","",B488&amp;"|"&amp;COUNTIF(B$2:B488,B488))</f>
        <v/>
      </c>
    </row>
    <row r="489" customFormat="false" ht="15" hidden="false" customHeight="false" outlineLevel="0" collapsed="false">
      <c r="A489" s="5"/>
      <c r="B489" s="6"/>
      <c r="C489" s="6"/>
      <c r="D489" s="6"/>
      <c r="E489" s="7" t="str">
        <f aca="false">IF(D489="","",IFERROR(INDEX(Товары!$B$2:$B$200,MATCH(D489,Товары!$A$2:$A$200,0)),"нет в справочнике"))</f>
        <v/>
      </c>
      <c r="F489" s="6"/>
      <c r="G489" s="8" t="str">
        <f aca="false">IF(D489="","",IFERROR(INDEX(Товары!$C$2:$C$200,MATCH(D489,Товары!$A$2:$A$200,0)),0))</f>
        <v/>
      </c>
      <c r="H489" s="8" t="str">
        <f aca="false">IF(D489="","",F489*G489)</f>
        <v/>
      </c>
      <c r="I489" s="8" t="str">
        <f aca="false">IF(D489="","",F489*IFERROR(INDEX(Товары!$D$2:$D$200,MATCH(D489,Товары!$A$2:$A$200,0)),0))</f>
        <v/>
      </c>
      <c r="J489" s="8" t="str">
        <f aca="false">IF(D489="","",H489-I489)</f>
        <v/>
      </c>
      <c r="K489" s="7" t="str">
        <f aca="false">IF(A489="","",MONTH(A489))</f>
        <v/>
      </c>
      <c r="L489" s="7" t="str">
        <f aca="false">IF(A489="","",YEAR(A489))</f>
        <v/>
      </c>
      <c r="M489" s="9" t="str">
        <f aca="false">IF(B489="","",B489&amp;"|"&amp;COUNTIF(B$2:B489,B489))</f>
        <v/>
      </c>
    </row>
    <row r="490" customFormat="false" ht="15" hidden="false" customHeight="false" outlineLevel="0" collapsed="false">
      <c r="A490" s="5"/>
      <c r="B490" s="6"/>
      <c r="C490" s="6"/>
      <c r="D490" s="6"/>
      <c r="E490" s="7" t="str">
        <f aca="false">IF(D490="","",IFERROR(INDEX(Товары!$B$2:$B$200,MATCH(D490,Товары!$A$2:$A$200,0)),"нет в справочнике"))</f>
        <v/>
      </c>
      <c r="F490" s="6"/>
      <c r="G490" s="8" t="str">
        <f aca="false">IF(D490="","",IFERROR(INDEX(Товары!$C$2:$C$200,MATCH(D490,Товары!$A$2:$A$200,0)),0))</f>
        <v/>
      </c>
      <c r="H490" s="8" t="str">
        <f aca="false">IF(D490="","",F490*G490)</f>
        <v/>
      </c>
      <c r="I490" s="8" t="str">
        <f aca="false">IF(D490="","",F490*IFERROR(INDEX(Товары!$D$2:$D$200,MATCH(D490,Товары!$A$2:$A$200,0)),0))</f>
        <v/>
      </c>
      <c r="J490" s="8" t="str">
        <f aca="false">IF(D490="","",H490-I490)</f>
        <v/>
      </c>
      <c r="K490" s="7" t="str">
        <f aca="false">IF(A490="","",MONTH(A490))</f>
        <v/>
      </c>
      <c r="L490" s="7" t="str">
        <f aca="false">IF(A490="","",YEAR(A490))</f>
        <v/>
      </c>
      <c r="M490" s="9" t="str">
        <f aca="false">IF(B490="","",B490&amp;"|"&amp;COUNTIF(B$2:B490,B490))</f>
        <v/>
      </c>
    </row>
    <row r="491" customFormat="false" ht="15" hidden="false" customHeight="false" outlineLevel="0" collapsed="false">
      <c r="A491" s="5"/>
      <c r="B491" s="6"/>
      <c r="C491" s="6"/>
      <c r="D491" s="6"/>
      <c r="E491" s="7" t="str">
        <f aca="false">IF(D491="","",IFERROR(INDEX(Товары!$B$2:$B$200,MATCH(D491,Товары!$A$2:$A$200,0)),"нет в справочнике"))</f>
        <v/>
      </c>
      <c r="F491" s="6"/>
      <c r="G491" s="8" t="str">
        <f aca="false">IF(D491="","",IFERROR(INDEX(Товары!$C$2:$C$200,MATCH(D491,Товары!$A$2:$A$200,0)),0))</f>
        <v/>
      </c>
      <c r="H491" s="8" t="str">
        <f aca="false">IF(D491="","",F491*G491)</f>
        <v/>
      </c>
      <c r="I491" s="8" t="str">
        <f aca="false">IF(D491="","",F491*IFERROR(INDEX(Товары!$D$2:$D$200,MATCH(D491,Товары!$A$2:$A$200,0)),0))</f>
        <v/>
      </c>
      <c r="J491" s="8" t="str">
        <f aca="false">IF(D491="","",H491-I491)</f>
        <v/>
      </c>
      <c r="K491" s="7" t="str">
        <f aca="false">IF(A491="","",MONTH(A491))</f>
        <v/>
      </c>
      <c r="L491" s="7" t="str">
        <f aca="false">IF(A491="","",YEAR(A491))</f>
        <v/>
      </c>
      <c r="M491" s="9" t="str">
        <f aca="false">IF(B491="","",B491&amp;"|"&amp;COUNTIF(B$2:B491,B491))</f>
        <v/>
      </c>
    </row>
    <row r="492" customFormat="false" ht="15" hidden="false" customHeight="false" outlineLevel="0" collapsed="false">
      <c r="A492" s="5"/>
      <c r="B492" s="6"/>
      <c r="C492" s="6"/>
      <c r="D492" s="6"/>
      <c r="E492" s="7" t="str">
        <f aca="false">IF(D492="","",IFERROR(INDEX(Товары!$B$2:$B$200,MATCH(D492,Товары!$A$2:$A$200,0)),"нет в справочнике"))</f>
        <v/>
      </c>
      <c r="F492" s="6"/>
      <c r="G492" s="8" t="str">
        <f aca="false">IF(D492="","",IFERROR(INDEX(Товары!$C$2:$C$200,MATCH(D492,Товары!$A$2:$A$200,0)),0))</f>
        <v/>
      </c>
      <c r="H492" s="8" t="str">
        <f aca="false">IF(D492="","",F492*G492)</f>
        <v/>
      </c>
      <c r="I492" s="8" t="str">
        <f aca="false">IF(D492="","",F492*IFERROR(INDEX(Товары!$D$2:$D$200,MATCH(D492,Товары!$A$2:$A$200,0)),0))</f>
        <v/>
      </c>
      <c r="J492" s="8" t="str">
        <f aca="false">IF(D492="","",H492-I492)</f>
        <v/>
      </c>
      <c r="K492" s="7" t="str">
        <f aca="false">IF(A492="","",MONTH(A492))</f>
        <v/>
      </c>
      <c r="L492" s="7" t="str">
        <f aca="false">IF(A492="","",YEAR(A492))</f>
        <v/>
      </c>
      <c r="M492" s="9" t="str">
        <f aca="false">IF(B492="","",B492&amp;"|"&amp;COUNTIF(B$2:B492,B492))</f>
        <v/>
      </c>
    </row>
    <row r="493" customFormat="false" ht="15" hidden="false" customHeight="false" outlineLevel="0" collapsed="false">
      <c r="A493" s="5"/>
      <c r="B493" s="6"/>
      <c r="C493" s="6"/>
      <c r="D493" s="6"/>
      <c r="E493" s="7" t="str">
        <f aca="false">IF(D493="","",IFERROR(INDEX(Товары!$B$2:$B$200,MATCH(D493,Товары!$A$2:$A$200,0)),"нет в справочнике"))</f>
        <v/>
      </c>
      <c r="F493" s="6"/>
      <c r="G493" s="8" t="str">
        <f aca="false">IF(D493="","",IFERROR(INDEX(Товары!$C$2:$C$200,MATCH(D493,Товары!$A$2:$A$200,0)),0))</f>
        <v/>
      </c>
      <c r="H493" s="8" t="str">
        <f aca="false">IF(D493="","",F493*G493)</f>
        <v/>
      </c>
      <c r="I493" s="8" t="str">
        <f aca="false">IF(D493="","",F493*IFERROR(INDEX(Товары!$D$2:$D$200,MATCH(D493,Товары!$A$2:$A$200,0)),0))</f>
        <v/>
      </c>
      <c r="J493" s="8" t="str">
        <f aca="false">IF(D493="","",H493-I493)</f>
        <v/>
      </c>
      <c r="K493" s="7" t="str">
        <f aca="false">IF(A493="","",MONTH(A493))</f>
        <v/>
      </c>
      <c r="L493" s="7" t="str">
        <f aca="false">IF(A493="","",YEAR(A493))</f>
        <v/>
      </c>
      <c r="M493" s="9" t="str">
        <f aca="false">IF(B493="","",B493&amp;"|"&amp;COUNTIF(B$2:B493,B493))</f>
        <v/>
      </c>
    </row>
    <row r="494" customFormat="false" ht="15" hidden="false" customHeight="false" outlineLevel="0" collapsed="false">
      <c r="A494" s="5"/>
      <c r="B494" s="6"/>
      <c r="C494" s="6"/>
      <c r="D494" s="6"/>
      <c r="E494" s="7" t="str">
        <f aca="false">IF(D494="","",IFERROR(INDEX(Товары!$B$2:$B$200,MATCH(D494,Товары!$A$2:$A$200,0)),"нет в справочнике"))</f>
        <v/>
      </c>
      <c r="F494" s="6"/>
      <c r="G494" s="8" t="str">
        <f aca="false">IF(D494="","",IFERROR(INDEX(Товары!$C$2:$C$200,MATCH(D494,Товары!$A$2:$A$200,0)),0))</f>
        <v/>
      </c>
      <c r="H494" s="8" t="str">
        <f aca="false">IF(D494="","",F494*G494)</f>
        <v/>
      </c>
      <c r="I494" s="8" t="str">
        <f aca="false">IF(D494="","",F494*IFERROR(INDEX(Товары!$D$2:$D$200,MATCH(D494,Товары!$A$2:$A$200,0)),0))</f>
        <v/>
      </c>
      <c r="J494" s="8" t="str">
        <f aca="false">IF(D494="","",H494-I494)</f>
        <v/>
      </c>
      <c r="K494" s="7" t="str">
        <f aca="false">IF(A494="","",MONTH(A494))</f>
        <v/>
      </c>
      <c r="L494" s="7" t="str">
        <f aca="false">IF(A494="","",YEAR(A494))</f>
        <v/>
      </c>
      <c r="M494" s="9" t="str">
        <f aca="false">IF(B494="","",B494&amp;"|"&amp;COUNTIF(B$2:B494,B494))</f>
        <v/>
      </c>
    </row>
    <row r="495" customFormat="false" ht="15" hidden="false" customHeight="false" outlineLevel="0" collapsed="false">
      <c r="A495" s="5"/>
      <c r="B495" s="6"/>
      <c r="C495" s="6"/>
      <c r="D495" s="6"/>
      <c r="E495" s="7" t="str">
        <f aca="false">IF(D495="","",IFERROR(INDEX(Товары!$B$2:$B$200,MATCH(D495,Товары!$A$2:$A$200,0)),"нет в справочнике"))</f>
        <v/>
      </c>
      <c r="F495" s="6"/>
      <c r="G495" s="8" t="str">
        <f aca="false">IF(D495="","",IFERROR(INDEX(Товары!$C$2:$C$200,MATCH(D495,Товары!$A$2:$A$200,0)),0))</f>
        <v/>
      </c>
      <c r="H495" s="8" t="str">
        <f aca="false">IF(D495="","",F495*G495)</f>
        <v/>
      </c>
      <c r="I495" s="8" t="str">
        <f aca="false">IF(D495="","",F495*IFERROR(INDEX(Товары!$D$2:$D$200,MATCH(D495,Товары!$A$2:$A$200,0)),0))</f>
        <v/>
      </c>
      <c r="J495" s="8" t="str">
        <f aca="false">IF(D495="","",H495-I495)</f>
        <v/>
      </c>
      <c r="K495" s="7" t="str">
        <f aca="false">IF(A495="","",MONTH(A495))</f>
        <v/>
      </c>
      <c r="L495" s="7" t="str">
        <f aca="false">IF(A495="","",YEAR(A495))</f>
        <v/>
      </c>
      <c r="M495" s="9" t="str">
        <f aca="false">IF(B495="","",B495&amp;"|"&amp;COUNTIF(B$2:B495,B495))</f>
        <v/>
      </c>
    </row>
    <row r="496" customFormat="false" ht="15" hidden="false" customHeight="false" outlineLevel="0" collapsed="false">
      <c r="A496" s="5"/>
      <c r="B496" s="6"/>
      <c r="C496" s="6"/>
      <c r="D496" s="6"/>
      <c r="E496" s="7" t="str">
        <f aca="false">IF(D496="","",IFERROR(INDEX(Товары!$B$2:$B$200,MATCH(D496,Товары!$A$2:$A$200,0)),"нет в справочнике"))</f>
        <v/>
      </c>
      <c r="F496" s="6"/>
      <c r="G496" s="8" t="str">
        <f aca="false">IF(D496="","",IFERROR(INDEX(Товары!$C$2:$C$200,MATCH(D496,Товары!$A$2:$A$200,0)),0))</f>
        <v/>
      </c>
      <c r="H496" s="8" t="str">
        <f aca="false">IF(D496="","",F496*G496)</f>
        <v/>
      </c>
      <c r="I496" s="8" t="str">
        <f aca="false">IF(D496="","",F496*IFERROR(INDEX(Товары!$D$2:$D$200,MATCH(D496,Товары!$A$2:$A$200,0)),0))</f>
        <v/>
      </c>
      <c r="J496" s="8" t="str">
        <f aca="false">IF(D496="","",H496-I496)</f>
        <v/>
      </c>
      <c r="K496" s="7" t="str">
        <f aca="false">IF(A496="","",MONTH(A496))</f>
        <v/>
      </c>
      <c r="L496" s="7" t="str">
        <f aca="false">IF(A496="","",YEAR(A496))</f>
        <v/>
      </c>
      <c r="M496" s="9" t="str">
        <f aca="false">IF(B496="","",B496&amp;"|"&amp;COUNTIF(B$2:B496,B496))</f>
        <v/>
      </c>
    </row>
    <row r="497" customFormat="false" ht="15" hidden="false" customHeight="false" outlineLevel="0" collapsed="false">
      <c r="A497" s="5"/>
      <c r="B497" s="6"/>
      <c r="C497" s="6"/>
      <c r="D497" s="6"/>
      <c r="E497" s="7" t="str">
        <f aca="false">IF(D497="","",IFERROR(INDEX(Товары!$B$2:$B$200,MATCH(D497,Товары!$A$2:$A$200,0)),"нет в справочнике"))</f>
        <v/>
      </c>
      <c r="F497" s="6"/>
      <c r="G497" s="8" t="str">
        <f aca="false">IF(D497="","",IFERROR(INDEX(Товары!$C$2:$C$200,MATCH(D497,Товары!$A$2:$A$200,0)),0))</f>
        <v/>
      </c>
      <c r="H497" s="8" t="str">
        <f aca="false">IF(D497="","",F497*G497)</f>
        <v/>
      </c>
      <c r="I497" s="8" t="str">
        <f aca="false">IF(D497="","",F497*IFERROR(INDEX(Товары!$D$2:$D$200,MATCH(D497,Товары!$A$2:$A$200,0)),0))</f>
        <v/>
      </c>
      <c r="J497" s="8" t="str">
        <f aca="false">IF(D497="","",H497-I497)</f>
        <v/>
      </c>
      <c r="K497" s="7" t="str">
        <f aca="false">IF(A497="","",MONTH(A497))</f>
        <v/>
      </c>
      <c r="L497" s="7" t="str">
        <f aca="false">IF(A497="","",YEAR(A497))</f>
        <v/>
      </c>
      <c r="M497" s="9" t="str">
        <f aca="false">IF(B497="","",B497&amp;"|"&amp;COUNTIF(B$2:B497,B497))</f>
        <v/>
      </c>
    </row>
    <row r="498" customFormat="false" ht="15" hidden="false" customHeight="false" outlineLevel="0" collapsed="false">
      <c r="A498" s="5"/>
      <c r="B498" s="6"/>
      <c r="C498" s="6"/>
      <c r="D498" s="6"/>
      <c r="E498" s="7" t="str">
        <f aca="false">IF(D498="","",IFERROR(INDEX(Товары!$B$2:$B$200,MATCH(D498,Товары!$A$2:$A$200,0)),"нет в справочнике"))</f>
        <v/>
      </c>
      <c r="F498" s="6"/>
      <c r="G498" s="8" t="str">
        <f aca="false">IF(D498="","",IFERROR(INDEX(Товары!$C$2:$C$200,MATCH(D498,Товары!$A$2:$A$200,0)),0))</f>
        <v/>
      </c>
      <c r="H498" s="8" t="str">
        <f aca="false">IF(D498="","",F498*G498)</f>
        <v/>
      </c>
      <c r="I498" s="8" t="str">
        <f aca="false">IF(D498="","",F498*IFERROR(INDEX(Товары!$D$2:$D$200,MATCH(D498,Товары!$A$2:$A$200,0)),0))</f>
        <v/>
      </c>
      <c r="J498" s="8" t="str">
        <f aca="false">IF(D498="","",H498-I498)</f>
        <v/>
      </c>
      <c r="K498" s="7" t="str">
        <f aca="false">IF(A498="","",MONTH(A498))</f>
        <v/>
      </c>
      <c r="L498" s="7" t="str">
        <f aca="false">IF(A498="","",YEAR(A498))</f>
        <v/>
      </c>
      <c r="M498" s="9" t="str">
        <f aca="false">IF(B498="","",B498&amp;"|"&amp;COUNTIF(B$2:B498,B498))</f>
        <v/>
      </c>
    </row>
    <row r="499" customFormat="false" ht="15" hidden="false" customHeight="false" outlineLevel="0" collapsed="false">
      <c r="A499" s="5"/>
      <c r="B499" s="6"/>
      <c r="C499" s="6"/>
      <c r="D499" s="6"/>
      <c r="E499" s="7" t="str">
        <f aca="false">IF(D499="","",IFERROR(INDEX(Товары!$B$2:$B$200,MATCH(D499,Товары!$A$2:$A$200,0)),"нет в справочнике"))</f>
        <v/>
      </c>
      <c r="F499" s="6"/>
      <c r="G499" s="8" t="str">
        <f aca="false">IF(D499="","",IFERROR(INDEX(Товары!$C$2:$C$200,MATCH(D499,Товары!$A$2:$A$200,0)),0))</f>
        <v/>
      </c>
      <c r="H499" s="8" t="str">
        <f aca="false">IF(D499="","",F499*G499)</f>
        <v/>
      </c>
      <c r="I499" s="8" t="str">
        <f aca="false">IF(D499="","",F499*IFERROR(INDEX(Товары!$D$2:$D$200,MATCH(D499,Товары!$A$2:$A$200,0)),0))</f>
        <v/>
      </c>
      <c r="J499" s="8" t="str">
        <f aca="false">IF(D499="","",H499-I499)</f>
        <v/>
      </c>
      <c r="K499" s="7" t="str">
        <f aca="false">IF(A499="","",MONTH(A499))</f>
        <v/>
      </c>
      <c r="L499" s="7" t="str">
        <f aca="false">IF(A499="","",YEAR(A499))</f>
        <v/>
      </c>
      <c r="M499" s="9" t="str">
        <f aca="false">IF(B499="","",B499&amp;"|"&amp;COUNTIF(B$2:B499,B499))</f>
        <v/>
      </c>
    </row>
    <row r="500" customFormat="false" ht="15" hidden="false" customHeight="false" outlineLevel="0" collapsed="false">
      <c r="A500" s="5"/>
      <c r="B500" s="6"/>
      <c r="C500" s="6"/>
      <c r="D500" s="6"/>
      <c r="E500" s="7" t="str">
        <f aca="false">IF(D500="","",IFERROR(INDEX(Товары!$B$2:$B$200,MATCH(D500,Товары!$A$2:$A$200,0)),"нет в справочнике"))</f>
        <v/>
      </c>
      <c r="F500" s="6"/>
      <c r="G500" s="8" t="str">
        <f aca="false">IF(D500="","",IFERROR(INDEX(Товары!$C$2:$C$200,MATCH(D500,Товары!$A$2:$A$200,0)),0))</f>
        <v/>
      </c>
      <c r="H500" s="8" t="str">
        <f aca="false">IF(D500="","",F500*G500)</f>
        <v/>
      </c>
      <c r="I500" s="8" t="str">
        <f aca="false">IF(D500="","",F500*IFERROR(INDEX(Товары!$D$2:$D$200,MATCH(D500,Товары!$A$2:$A$200,0)),0))</f>
        <v/>
      </c>
      <c r="J500" s="8" t="str">
        <f aca="false">IF(D500="","",H500-I500)</f>
        <v/>
      </c>
      <c r="K500" s="7" t="str">
        <f aca="false">IF(A500="","",MONTH(A500))</f>
        <v/>
      </c>
      <c r="L500" s="7" t="str">
        <f aca="false">IF(A500="","",YEAR(A500))</f>
        <v/>
      </c>
      <c r="M500" s="9" t="str">
        <f aca="false">IF(B500="","",B500&amp;"|"&amp;COUNTIF(B$2:B500,B500))</f>
        <v/>
      </c>
    </row>
    <row r="501" customFormat="false" ht="15" hidden="false" customHeight="false" outlineLevel="0" collapsed="false">
      <c r="A501" s="5"/>
      <c r="B501" s="6"/>
      <c r="C501" s="6"/>
      <c r="D501" s="6"/>
      <c r="E501" s="7" t="str">
        <f aca="false">IF(D501="","",IFERROR(INDEX(Товары!$B$2:$B$200,MATCH(D501,Товары!$A$2:$A$200,0)),"нет в справочнике"))</f>
        <v/>
      </c>
      <c r="F501" s="6"/>
      <c r="G501" s="8" t="str">
        <f aca="false">IF(D501="","",IFERROR(INDEX(Товары!$C$2:$C$200,MATCH(D501,Товары!$A$2:$A$200,0)),0))</f>
        <v/>
      </c>
      <c r="H501" s="8" t="str">
        <f aca="false">IF(D501="","",F501*G501)</f>
        <v/>
      </c>
      <c r="I501" s="8" t="str">
        <f aca="false">IF(D501="","",F501*IFERROR(INDEX(Товары!$D$2:$D$200,MATCH(D501,Товары!$A$2:$A$200,0)),0))</f>
        <v/>
      </c>
      <c r="J501" s="8" t="str">
        <f aca="false">IF(D501="","",H501-I501)</f>
        <v/>
      </c>
      <c r="K501" s="7" t="str">
        <f aca="false">IF(A501="","",MONTH(A501))</f>
        <v/>
      </c>
      <c r="L501" s="7" t="str">
        <f aca="false">IF(A501="","",YEAR(A501))</f>
        <v/>
      </c>
      <c r="M501" s="9" t="str">
        <f aca="false">IF(B501="","",B501&amp;"|"&amp;COUNTIF(B$2:B501,B501))</f>
        <v/>
      </c>
    </row>
    <row r="502" customFormat="false" ht="15" hidden="false" customHeight="false" outlineLevel="0" collapsed="false">
      <c r="A502" s="5"/>
      <c r="B502" s="6"/>
      <c r="C502" s="6"/>
      <c r="D502" s="6"/>
      <c r="E502" s="7" t="str">
        <f aca="false">IF(D502="","",IFERROR(INDEX(Товары!$B$2:$B$200,MATCH(D502,Товары!$A$2:$A$200,0)),"нет в справочнике"))</f>
        <v/>
      </c>
      <c r="F502" s="6"/>
      <c r="G502" s="8" t="str">
        <f aca="false">IF(D502="","",IFERROR(INDEX(Товары!$C$2:$C$200,MATCH(D502,Товары!$A$2:$A$200,0)),0))</f>
        <v/>
      </c>
      <c r="H502" s="8" t="str">
        <f aca="false">IF(D502="","",F502*G502)</f>
        <v/>
      </c>
      <c r="I502" s="8" t="str">
        <f aca="false">IF(D502="","",F502*IFERROR(INDEX(Товары!$D$2:$D$200,MATCH(D502,Товары!$A$2:$A$200,0)),0))</f>
        <v/>
      </c>
      <c r="J502" s="8" t="str">
        <f aca="false">IF(D502="","",H502-I502)</f>
        <v/>
      </c>
      <c r="K502" s="7" t="str">
        <f aca="false">IF(A502="","",MONTH(A502))</f>
        <v/>
      </c>
      <c r="L502" s="7" t="str">
        <f aca="false">IF(A502="","",YEAR(A502))</f>
        <v/>
      </c>
      <c r="M502" s="9" t="str">
        <f aca="false">IF(B502="","",B502&amp;"|"&amp;COUNTIF(B$2:B502,B502))</f>
        <v/>
      </c>
    </row>
    <row r="503" customFormat="false" ht="15" hidden="false" customHeight="false" outlineLevel="0" collapsed="false">
      <c r="A503" s="5"/>
      <c r="B503" s="6"/>
      <c r="C503" s="6"/>
      <c r="D503" s="6"/>
      <c r="E503" s="7" t="str">
        <f aca="false">IF(D503="","",IFERROR(INDEX(Товары!$B$2:$B$200,MATCH(D503,Товары!$A$2:$A$200,0)),"нет в справочнике"))</f>
        <v/>
      </c>
      <c r="F503" s="6"/>
      <c r="G503" s="8" t="str">
        <f aca="false">IF(D503="","",IFERROR(INDEX(Товары!$C$2:$C$200,MATCH(D503,Товары!$A$2:$A$200,0)),0))</f>
        <v/>
      </c>
      <c r="H503" s="8" t="str">
        <f aca="false">IF(D503="","",F503*G503)</f>
        <v/>
      </c>
      <c r="I503" s="8" t="str">
        <f aca="false">IF(D503="","",F503*IFERROR(INDEX(Товары!$D$2:$D$200,MATCH(D503,Товары!$A$2:$A$200,0)),0))</f>
        <v/>
      </c>
      <c r="J503" s="8" t="str">
        <f aca="false">IF(D503="","",H503-I503)</f>
        <v/>
      </c>
      <c r="K503" s="7" t="str">
        <f aca="false">IF(A503="","",MONTH(A503))</f>
        <v/>
      </c>
      <c r="L503" s="7" t="str">
        <f aca="false">IF(A503="","",YEAR(A503))</f>
        <v/>
      </c>
      <c r="M503" s="9" t="str">
        <f aca="false">IF(B503="","",B503&amp;"|"&amp;COUNTIF(B$2:B503,B503))</f>
        <v/>
      </c>
    </row>
    <row r="504" customFormat="false" ht="15" hidden="false" customHeight="false" outlineLevel="0" collapsed="false">
      <c r="A504" s="5"/>
      <c r="B504" s="6"/>
      <c r="C504" s="6"/>
      <c r="D504" s="6"/>
      <c r="E504" s="7" t="str">
        <f aca="false">IF(D504="","",IFERROR(INDEX(Товары!$B$2:$B$200,MATCH(D504,Товары!$A$2:$A$200,0)),"нет в справочнике"))</f>
        <v/>
      </c>
      <c r="F504" s="6"/>
      <c r="G504" s="8" t="str">
        <f aca="false">IF(D504="","",IFERROR(INDEX(Товары!$C$2:$C$200,MATCH(D504,Товары!$A$2:$A$200,0)),0))</f>
        <v/>
      </c>
      <c r="H504" s="8" t="str">
        <f aca="false">IF(D504="","",F504*G504)</f>
        <v/>
      </c>
      <c r="I504" s="8" t="str">
        <f aca="false">IF(D504="","",F504*IFERROR(INDEX(Товары!$D$2:$D$200,MATCH(D504,Товары!$A$2:$A$200,0)),0))</f>
        <v/>
      </c>
      <c r="J504" s="8" t="str">
        <f aca="false">IF(D504="","",H504-I504)</f>
        <v/>
      </c>
      <c r="K504" s="7" t="str">
        <f aca="false">IF(A504="","",MONTH(A504))</f>
        <v/>
      </c>
      <c r="L504" s="7" t="str">
        <f aca="false">IF(A504="","",YEAR(A504))</f>
        <v/>
      </c>
      <c r="M504" s="9" t="str">
        <f aca="false">IF(B504="","",B504&amp;"|"&amp;COUNTIF(B$2:B504,B504))</f>
        <v/>
      </c>
    </row>
    <row r="505" customFormat="false" ht="15" hidden="false" customHeight="false" outlineLevel="0" collapsed="false">
      <c r="A505" s="5"/>
      <c r="B505" s="6"/>
      <c r="C505" s="6"/>
      <c r="D505" s="6"/>
      <c r="E505" s="7" t="str">
        <f aca="false">IF(D505="","",IFERROR(INDEX(Товары!$B$2:$B$200,MATCH(D505,Товары!$A$2:$A$200,0)),"нет в справочнике"))</f>
        <v/>
      </c>
      <c r="F505" s="6"/>
      <c r="G505" s="8" t="str">
        <f aca="false">IF(D505="","",IFERROR(INDEX(Товары!$C$2:$C$200,MATCH(D505,Товары!$A$2:$A$200,0)),0))</f>
        <v/>
      </c>
      <c r="H505" s="8" t="str">
        <f aca="false">IF(D505="","",F505*G505)</f>
        <v/>
      </c>
      <c r="I505" s="8" t="str">
        <f aca="false">IF(D505="","",F505*IFERROR(INDEX(Товары!$D$2:$D$200,MATCH(D505,Товары!$A$2:$A$200,0)),0))</f>
        <v/>
      </c>
      <c r="J505" s="8" t="str">
        <f aca="false">IF(D505="","",H505-I505)</f>
        <v/>
      </c>
      <c r="K505" s="7" t="str">
        <f aca="false">IF(A505="","",MONTH(A505))</f>
        <v/>
      </c>
      <c r="L505" s="7" t="str">
        <f aca="false">IF(A505="","",YEAR(A505))</f>
        <v/>
      </c>
      <c r="M505" s="9" t="str">
        <f aca="false">IF(B505="","",B505&amp;"|"&amp;COUNTIF(B$2:B505,B505))</f>
        <v/>
      </c>
    </row>
    <row r="506" customFormat="false" ht="15" hidden="false" customHeight="false" outlineLevel="0" collapsed="false">
      <c r="A506" s="5"/>
      <c r="B506" s="6"/>
      <c r="C506" s="6"/>
      <c r="D506" s="6"/>
      <c r="E506" s="7" t="str">
        <f aca="false">IF(D506="","",IFERROR(INDEX(Товары!$B$2:$B$200,MATCH(D506,Товары!$A$2:$A$200,0)),"нет в справочнике"))</f>
        <v/>
      </c>
      <c r="F506" s="6"/>
      <c r="G506" s="8" t="str">
        <f aca="false">IF(D506="","",IFERROR(INDEX(Товары!$C$2:$C$200,MATCH(D506,Товары!$A$2:$A$200,0)),0))</f>
        <v/>
      </c>
      <c r="H506" s="8" t="str">
        <f aca="false">IF(D506="","",F506*G506)</f>
        <v/>
      </c>
      <c r="I506" s="8" t="str">
        <f aca="false">IF(D506="","",F506*IFERROR(INDEX(Товары!$D$2:$D$200,MATCH(D506,Товары!$A$2:$A$200,0)),0))</f>
        <v/>
      </c>
      <c r="J506" s="8" t="str">
        <f aca="false">IF(D506="","",H506-I506)</f>
        <v/>
      </c>
      <c r="K506" s="7" t="str">
        <f aca="false">IF(A506="","",MONTH(A506))</f>
        <v/>
      </c>
      <c r="L506" s="7" t="str">
        <f aca="false">IF(A506="","",YEAR(A506))</f>
        <v/>
      </c>
      <c r="M506" s="9" t="str">
        <f aca="false">IF(B506="","",B506&amp;"|"&amp;COUNTIF(B$2:B506,B506))</f>
        <v/>
      </c>
    </row>
    <row r="507" customFormat="false" ht="15" hidden="false" customHeight="false" outlineLevel="0" collapsed="false">
      <c r="A507" s="5"/>
      <c r="B507" s="6"/>
      <c r="C507" s="6"/>
      <c r="D507" s="6"/>
      <c r="E507" s="7" t="str">
        <f aca="false">IF(D507="","",IFERROR(INDEX(Товары!$B$2:$B$200,MATCH(D507,Товары!$A$2:$A$200,0)),"нет в справочнике"))</f>
        <v/>
      </c>
      <c r="F507" s="6"/>
      <c r="G507" s="8" t="str">
        <f aca="false">IF(D507="","",IFERROR(INDEX(Товары!$C$2:$C$200,MATCH(D507,Товары!$A$2:$A$200,0)),0))</f>
        <v/>
      </c>
      <c r="H507" s="8" t="str">
        <f aca="false">IF(D507="","",F507*G507)</f>
        <v/>
      </c>
      <c r="I507" s="8" t="str">
        <f aca="false">IF(D507="","",F507*IFERROR(INDEX(Товары!$D$2:$D$200,MATCH(D507,Товары!$A$2:$A$200,0)),0))</f>
        <v/>
      </c>
      <c r="J507" s="8" t="str">
        <f aca="false">IF(D507="","",H507-I507)</f>
        <v/>
      </c>
      <c r="K507" s="7" t="str">
        <f aca="false">IF(A507="","",MONTH(A507))</f>
        <v/>
      </c>
      <c r="L507" s="7" t="str">
        <f aca="false">IF(A507="","",YEAR(A507))</f>
        <v/>
      </c>
      <c r="M507" s="9" t="str">
        <f aca="false">IF(B507="","",B507&amp;"|"&amp;COUNTIF(B$2:B507,B507))</f>
        <v/>
      </c>
    </row>
    <row r="508" customFormat="false" ht="15" hidden="false" customHeight="false" outlineLevel="0" collapsed="false">
      <c r="A508" s="5"/>
      <c r="B508" s="6"/>
      <c r="C508" s="6"/>
      <c r="D508" s="6"/>
      <c r="E508" s="7" t="str">
        <f aca="false">IF(D508="","",IFERROR(INDEX(Товары!$B$2:$B$200,MATCH(D508,Товары!$A$2:$A$200,0)),"нет в справочнике"))</f>
        <v/>
      </c>
      <c r="F508" s="6"/>
      <c r="G508" s="8" t="str">
        <f aca="false">IF(D508="","",IFERROR(INDEX(Товары!$C$2:$C$200,MATCH(D508,Товары!$A$2:$A$200,0)),0))</f>
        <v/>
      </c>
      <c r="H508" s="8" t="str">
        <f aca="false">IF(D508="","",F508*G508)</f>
        <v/>
      </c>
      <c r="I508" s="8" t="str">
        <f aca="false">IF(D508="","",F508*IFERROR(INDEX(Товары!$D$2:$D$200,MATCH(D508,Товары!$A$2:$A$200,0)),0))</f>
        <v/>
      </c>
      <c r="J508" s="8" t="str">
        <f aca="false">IF(D508="","",H508-I508)</f>
        <v/>
      </c>
      <c r="K508" s="7" t="str">
        <f aca="false">IF(A508="","",MONTH(A508))</f>
        <v/>
      </c>
      <c r="L508" s="7" t="str">
        <f aca="false">IF(A508="","",YEAR(A508))</f>
        <v/>
      </c>
      <c r="M508" s="9" t="str">
        <f aca="false">IF(B508="","",B508&amp;"|"&amp;COUNTIF(B$2:B508,B508))</f>
        <v/>
      </c>
    </row>
    <row r="509" customFormat="false" ht="15" hidden="false" customHeight="false" outlineLevel="0" collapsed="false">
      <c r="A509" s="5"/>
      <c r="B509" s="6"/>
      <c r="C509" s="6"/>
      <c r="D509" s="6"/>
      <c r="E509" s="7" t="str">
        <f aca="false">IF(D509="","",IFERROR(INDEX(Товары!$B$2:$B$200,MATCH(D509,Товары!$A$2:$A$200,0)),"нет в справочнике"))</f>
        <v/>
      </c>
      <c r="F509" s="6"/>
      <c r="G509" s="8" t="str">
        <f aca="false">IF(D509="","",IFERROR(INDEX(Товары!$C$2:$C$200,MATCH(D509,Товары!$A$2:$A$200,0)),0))</f>
        <v/>
      </c>
      <c r="H509" s="8" t="str">
        <f aca="false">IF(D509="","",F509*G509)</f>
        <v/>
      </c>
      <c r="I509" s="8" t="str">
        <f aca="false">IF(D509="","",F509*IFERROR(INDEX(Товары!$D$2:$D$200,MATCH(D509,Товары!$A$2:$A$200,0)),0))</f>
        <v/>
      </c>
      <c r="J509" s="8" t="str">
        <f aca="false">IF(D509="","",H509-I509)</f>
        <v/>
      </c>
      <c r="K509" s="7" t="str">
        <f aca="false">IF(A509="","",MONTH(A509))</f>
        <v/>
      </c>
      <c r="L509" s="7" t="str">
        <f aca="false">IF(A509="","",YEAR(A509))</f>
        <v/>
      </c>
      <c r="M509" s="9" t="str">
        <f aca="false">IF(B509="","",B509&amp;"|"&amp;COUNTIF(B$2:B509,B509))</f>
        <v/>
      </c>
    </row>
    <row r="510" customFormat="false" ht="15" hidden="false" customHeight="false" outlineLevel="0" collapsed="false">
      <c r="A510" s="5"/>
      <c r="B510" s="6"/>
      <c r="C510" s="6"/>
      <c r="D510" s="6"/>
      <c r="E510" s="7" t="str">
        <f aca="false">IF(D510="","",IFERROR(INDEX(Товары!$B$2:$B$200,MATCH(D510,Товары!$A$2:$A$200,0)),"нет в справочнике"))</f>
        <v/>
      </c>
      <c r="F510" s="6"/>
      <c r="G510" s="8" t="str">
        <f aca="false">IF(D510="","",IFERROR(INDEX(Товары!$C$2:$C$200,MATCH(D510,Товары!$A$2:$A$200,0)),0))</f>
        <v/>
      </c>
      <c r="H510" s="8" t="str">
        <f aca="false">IF(D510="","",F510*G510)</f>
        <v/>
      </c>
      <c r="I510" s="8" t="str">
        <f aca="false">IF(D510="","",F510*IFERROR(INDEX(Товары!$D$2:$D$200,MATCH(D510,Товары!$A$2:$A$200,0)),0))</f>
        <v/>
      </c>
      <c r="J510" s="8" t="str">
        <f aca="false">IF(D510="","",H510-I510)</f>
        <v/>
      </c>
      <c r="K510" s="7" t="str">
        <f aca="false">IF(A510="","",MONTH(A510))</f>
        <v/>
      </c>
      <c r="L510" s="7" t="str">
        <f aca="false">IF(A510="","",YEAR(A510))</f>
        <v/>
      </c>
      <c r="M510" s="9" t="str">
        <f aca="false">IF(B510="","",B510&amp;"|"&amp;COUNTIF(B$2:B510,B510))</f>
        <v/>
      </c>
    </row>
    <row r="511" customFormat="false" ht="15" hidden="false" customHeight="false" outlineLevel="0" collapsed="false">
      <c r="A511" s="5"/>
      <c r="B511" s="6"/>
      <c r="C511" s="6"/>
      <c r="D511" s="6"/>
      <c r="E511" s="7" t="str">
        <f aca="false">IF(D511="","",IFERROR(INDEX(Товары!$B$2:$B$200,MATCH(D511,Товары!$A$2:$A$200,0)),"нет в справочнике"))</f>
        <v/>
      </c>
      <c r="F511" s="6"/>
      <c r="G511" s="8" t="str">
        <f aca="false">IF(D511="","",IFERROR(INDEX(Товары!$C$2:$C$200,MATCH(D511,Товары!$A$2:$A$200,0)),0))</f>
        <v/>
      </c>
      <c r="H511" s="8" t="str">
        <f aca="false">IF(D511="","",F511*G511)</f>
        <v/>
      </c>
      <c r="I511" s="8" t="str">
        <f aca="false">IF(D511="","",F511*IFERROR(INDEX(Товары!$D$2:$D$200,MATCH(D511,Товары!$A$2:$A$200,0)),0))</f>
        <v/>
      </c>
      <c r="J511" s="8" t="str">
        <f aca="false">IF(D511="","",H511-I511)</f>
        <v/>
      </c>
      <c r="K511" s="7" t="str">
        <f aca="false">IF(A511="","",MONTH(A511))</f>
        <v/>
      </c>
      <c r="L511" s="7" t="str">
        <f aca="false">IF(A511="","",YEAR(A511))</f>
        <v/>
      </c>
      <c r="M511" s="9" t="str">
        <f aca="false">IF(B511="","",B511&amp;"|"&amp;COUNTIF(B$2:B511,B511))</f>
        <v/>
      </c>
    </row>
    <row r="512" customFormat="false" ht="15" hidden="false" customHeight="false" outlineLevel="0" collapsed="false">
      <c r="A512" s="5"/>
      <c r="B512" s="6"/>
      <c r="C512" s="6"/>
      <c r="D512" s="6"/>
      <c r="E512" s="7" t="str">
        <f aca="false">IF(D512="","",IFERROR(INDEX(Товары!$B$2:$B$200,MATCH(D512,Товары!$A$2:$A$200,0)),"нет в справочнике"))</f>
        <v/>
      </c>
      <c r="F512" s="6"/>
      <c r="G512" s="8" t="str">
        <f aca="false">IF(D512="","",IFERROR(INDEX(Товары!$C$2:$C$200,MATCH(D512,Товары!$A$2:$A$200,0)),0))</f>
        <v/>
      </c>
      <c r="H512" s="8" t="str">
        <f aca="false">IF(D512="","",F512*G512)</f>
        <v/>
      </c>
      <c r="I512" s="8" t="str">
        <f aca="false">IF(D512="","",F512*IFERROR(INDEX(Товары!$D$2:$D$200,MATCH(D512,Товары!$A$2:$A$200,0)),0))</f>
        <v/>
      </c>
      <c r="J512" s="8" t="str">
        <f aca="false">IF(D512="","",H512-I512)</f>
        <v/>
      </c>
      <c r="K512" s="7" t="str">
        <f aca="false">IF(A512="","",MONTH(A512))</f>
        <v/>
      </c>
      <c r="L512" s="7" t="str">
        <f aca="false">IF(A512="","",YEAR(A512))</f>
        <v/>
      </c>
      <c r="M512" s="9" t="str">
        <f aca="false">IF(B512="","",B512&amp;"|"&amp;COUNTIF(B$2:B512,B512))</f>
        <v/>
      </c>
    </row>
    <row r="513" customFormat="false" ht="15" hidden="false" customHeight="false" outlineLevel="0" collapsed="false">
      <c r="A513" s="5"/>
      <c r="B513" s="6"/>
      <c r="C513" s="6"/>
      <c r="D513" s="6"/>
      <c r="E513" s="7" t="str">
        <f aca="false">IF(D513="","",IFERROR(INDEX(Товары!$B$2:$B$200,MATCH(D513,Товары!$A$2:$A$200,0)),"нет в справочнике"))</f>
        <v/>
      </c>
      <c r="F513" s="6"/>
      <c r="G513" s="8" t="str">
        <f aca="false">IF(D513="","",IFERROR(INDEX(Товары!$C$2:$C$200,MATCH(D513,Товары!$A$2:$A$200,0)),0))</f>
        <v/>
      </c>
      <c r="H513" s="8" t="str">
        <f aca="false">IF(D513="","",F513*G513)</f>
        <v/>
      </c>
      <c r="I513" s="8" t="str">
        <f aca="false">IF(D513="","",F513*IFERROR(INDEX(Товары!$D$2:$D$200,MATCH(D513,Товары!$A$2:$A$200,0)),0))</f>
        <v/>
      </c>
      <c r="J513" s="8" t="str">
        <f aca="false">IF(D513="","",H513-I513)</f>
        <v/>
      </c>
      <c r="K513" s="7" t="str">
        <f aca="false">IF(A513="","",MONTH(A513))</f>
        <v/>
      </c>
      <c r="L513" s="7" t="str">
        <f aca="false">IF(A513="","",YEAR(A513))</f>
        <v/>
      </c>
      <c r="M513" s="9" t="str">
        <f aca="false">IF(B513="","",B513&amp;"|"&amp;COUNTIF(B$2:B513,B513))</f>
        <v/>
      </c>
    </row>
    <row r="514" customFormat="false" ht="15" hidden="false" customHeight="false" outlineLevel="0" collapsed="false">
      <c r="A514" s="5"/>
      <c r="B514" s="6"/>
      <c r="C514" s="6"/>
      <c r="D514" s="6"/>
      <c r="E514" s="7" t="str">
        <f aca="false">IF(D514="","",IFERROR(INDEX(Товары!$B$2:$B$200,MATCH(D514,Товары!$A$2:$A$200,0)),"нет в справочнике"))</f>
        <v/>
      </c>
      <c r="F514" s="6"/>
      <c r="G514" s="8" t="str">
        <f aca="false">IF(D514="","",IFERROR(INDEX(Товары!$C$2:$C$200,MATCH(D514,Товары!$A$2:$A$200,0)),0))</f>
        <v/>
      </c>
      <c r="H514" s="8" t="str">
        <f aca="false">IF(D514="","",F514*G514)</f>
        <v/>
      </c>
      <c r="I514" s="8" t="str">
        <f aca="false">IF(D514="","",F514*IFERROR(INDEX(Товары!$D$2:$D$200,MATCH(D514,Товары!$A$2:$A$200,0)),0))</f>
        <v/>
      </c>
      <c r="J514" s="8" t="str">
        <f aca="false">IF(D514="","",H514-I514)</f>
        <v/>
      </c>
      <c r="K514" s="7" t="str">
        <f aca="false">IF(A514="","",MONTH(A514))</f>
        <v/>
      </c>
      <c r="L514" s="7" t="str">
        <f aca="false">IF(A514="","",YEAR(A514))</f>
        <v/>
      </c>
      <c r="M514" s="9" t="str">
        <f aca="false">IF(B514="","",B514&amp;"|"&amp;COUNTIF(B$2:B514,B514))</f>
        <v/>
      </c>
    </row>
    <row r="515" customFormat="false" ht="15" hidden="false" customHeight="false" outlineLevel="0" collapsed="false">
      <c r="A515" s="5"/>
      <c r="B515" s="6"/>
      <c r="C515" s="6"/>
      <c r="D515" s="6"/>
      <c r="E515" s="7" t="str">
        <f aca="false">IF(D515="","",IFERROR(INDEX(Товары!$B$2:$B$200,MATCH(D515,Товары!$A$2:$A$200,0)),"нет в справочнике"))</f>
        <v/>
      </c>
      <c r="F515" s="6"/>
      <c r="G515" s="8" t="str">
        <f aca="false">IF(D515="","",IFERROR(INDEX(Товары!$C$2:$C$200,MATCH(D515,Товары!$A$2:$A$200,0)),0))</f>
        <v/>
      </c>
      <c r="H515" s="8" t="str">
        <f aca="false">IF(D515="","",F515*G515)</f>
        <v/>
      </c>
      <c r="I515" s="8" t="str">
        <f aca="false">IF(D515="","",F515*IFERROR(INDEX(Товары!$D$2:$D$200,MATCH(D515,Товары!$A$2:$A$200,0)),0))</f>
        <v/>
      </c>
      <c r="J515" s="8" t="str">
        <f aca="false">IF(D515="","",H515-I515)</f>
        <v/>
      </c>
      <c r="K515" s="7" t="str">
        <f aca="false">IF(A515="","",MONTH(A515))</f>
        <v/>
      </c>
      <c r="L515" s="7" t="str">
        <f aca="false">IF(A515="","",YEAR(A515))</f>
        <v/>
      </c>
      <c r="M515" s="9" t="str">
        <f aca="false">IF(B515="","",B515&amp;"|"&amp;COUNTIF(B$2:B515,B515))</f>
        <v/>
      </c>
    </row>
    <row r="516" customFormat="false" ht="15" hidden="false" customHeight="false" outlineLevel="0" collapsed="false">
      <c r="A516" s="5"/>
      <c r="B516" s="6"/>
      <c r="C516" s="6"/>
      <c r="D516" s="6"/>
      <c r="E516" s="7" t="str">
        <f aca="false">IF(D516="","",IFERROR(INDEX(Товары!$B$2:$B$200,MATCH(D516,Товары!$A$2:$A$200,0)),"нет в справочнике"))</f>
        <v/>
      </c>
      <c r="F516" s="6"/>
      <c r="G516" s="8" t="str">
        <f aca="false">IF(D516="","",IFERROR(INDEX(Товары!$C$2:$C$200,MATCH(D516,Товары!$A$2:$A$200,0)),0))</f>
        <v/>
      </c>
      <c r="H516" s="8" t="str">
        <f aca="false">IF(D516="","",F516*G516)</f>
        <v/>
      </c>
      <c r="I516" s="8" t="str">
        <f aca="false">IF(D516="","",F516*IFERROR(INDEX(Товары!$D$2:$D$200,MATCH(D516,Товары!$A$2:$A$200,0)),0))</f>
        <v/>
      </c>
      <c r="J516" s="8" t="str">
        <f aca="false">IF(D516="","",H516-I516)</f>
        <v/>
      </c>
      <c r="K516" s="7" t="str">
        <f aca="false">IF(A516="","",MONTH(A516))</f>
        <v/>
      </c>
      <c r="L516" s="7" t="str">
        <f aca="false">IF(A516="","",YEAR(A516))</f>
        <v/>
      </c>
      <c r="M516" s="9" t="str">
        <f aca="false">IF(B516="","",B516&amp;"|"&amp;COUNTIF(B$2:B516,B516))</f>
        <v/>
      </c>
    </row>
    <row r="517" customFormat="false" ht="15" hidden="false" customHeight="false" outlineLevel="0" collapsed="false">
      <c r="A517" s="5"/>
      <c r="B517" s="6"/>
      <c r="C517" s="6"/>
      <c r="D517" s="6"/>
      <c r="E517" s="7" t="str">
        <f aca="false">IF(D517="","",IFERROR(INDEX(Товары!$B$2:$B$200,MATCH(D517,Товары!$A$2:$A$200,0)),"нет в справочнике"))</f>
        <v/>
      </c>
      <c r="F517" s="6"/>
      <c r="G517" s="8" t="str">
        <f aca="false">IF(D517="","",IFERROR(INDEX(Товары!$C$2:$C$200,MATCH(D517,Товары!$A$2:$A$200,0)),0))</f>
        <v/>
      </c>
      <c r="H517" s="8" t="str">
        <f aca="false">IF(D517="","",F517*G517)</f>
        <v/>
      </c>
      <c r="I517" s="8" t="str">
        <f aca="false">IF(D517="","",F517*IFERROR(INDEX(Товары!$D$2:$D$200,MATCH(D517,Товары!$A$2:$A$200,0)),0))</f>
        <v/>
      </c>
      <c r="J517" s="8" t="str">
        <f aca="false">IF(D517="","",H517-I517)</f>
        <v/>
      </c>
      <c r="K517" s="7" t="str">
        <f aca="false">IF(A517="","",MONTH(A517))</f>
        <v/>
      </c>
      <c r="L517" s="7" t="str">
        <f aca="false">IF(A517="","",YEAR(A517))</f>
        <v/>
      </c>
      <c r="M517" s="9" t="str">
        <f aca="false">IF(B517="","",B517&amp;"|"&amp;COUNTIF(B$2:B517,B517))</f>
        <v/>
      </c>
    </row>
    <row r="518" customFormat="false" ht="15" hidden="false" customHeight="false" outlineLevel="0" collapsed="false">
      <c r="A518" s="5"/>
      <c r="B518" s="6"/>
      <c r="C518" s="6"/>
      <c r="D518" s="6"/>
      <c r="E518" s="7" t="str">
        <f aca="false">IF(D518="","",IFERROR(INDEX(Товары!$B$2:$B$200,MATCH(D518,Товары!$A$2:$A$200,0)),"нет в справочнике"))</f>
        <v/>
      </c>
      <c r="F518" s="6"/>
      <c r="G518" s="8" t="str">
        <f aca="false">IF(D518="","",IFERROR(INDEX(Товары!$C$2:$C$200,MATCH(D518,Товары!$A$2:$A$200,0)),0))</f>
        <v/>
      </c>
      <c r="H518" s="8" t="str">
        <f aca="false">IF(D518="","",F518*G518)</f>
        <v/>
      </c>
      <c r="I518" s="8" t="str">
        <f aca="false">IF(D518="","",F518*IFERROR(INDEX(Товары!$D$2:$D$200,MATCH(D518,Товары!$A$2:$A$200,0)),0))</f>
        <v/>
      </c>
      <c r="J518" s="8" t="str">
        <f aca="false">IF(D518="","",H518-I518)</f>
        <v/>
      </c>
      <c r="K518" s="7" t="str">
        <f aca="false">IF(A518="","",MONTH(A518))</f>
        <v/>
      </c>
      <c r="L518" s="7" t="str">
        <f aca="false">IF(A518="","",YEAR(A518))</f>
        <v/>
      </c>
      <c r="M518" s="9" t="str">
        <f aca="false">IF(B518="","",B518&amp;"|"&amp;COUNTIF(B$2:B518,B518))</f>
        <v/>
      </c>
    </row>
    <row r="519" customFormat="false" ht="15" hidden="false" customHeight="false" outlineLevel="0" collapsed="false">
      <c r="A519" s="5"/>
      <c r="B519" s="6"/>
      <c r="C519" s="6"/>
      <c r="D519" s="6"/>
      <c r="E519" s="7" t="str">
        <f aca="false">IF(D519="","",IFERROR(INDEX(Товары!$B$2:$B$200,MATCH(D519,Товары!$A$2:$A$200,0)),"нет в справочнике"))</f>
        <v/>
      </c>
      <c r="F519" s="6"/>
      <c r="G519" s="8" t="str">
        <f aca="false">IF(D519="","",IFERROR(INDEX(Товары!$C$2:$C$200,MATCH(D519,Товары!$A$2:$A$200,0)),0))</f>
        <v/>
      </c>
      <c r="H519" s="8" t="str">
        <f aca="false">IF(D519="","",F519*G519)</f>
        <v/>
      </c>
      <c r="I519" s="8" t="str">
        <f aca="false">IF(D519="","",F519*IFERROR(INDEX(Товары!$D$2:$D$200,MATCH(D519,Товары!$A$2:$A$200,0)),0))</f>
        <v/>
      </c>
      <c r="J519" s="8" t="str">
        <f aca="false">IF(D519="","",H519-I519)</f>
        <v/>
      </c>
      <c r="K519" s="7" t="str">
        <f aca="false">IF(A519="","",MONTH(A519))</f>
        <v/>
      </c>
      <c r="L519" s="7" t="str">
        <f aca="false">IF(A519="","",YEAR(A519))</f>
        <v/>
      </c>
      <c r="M519" s="9" t="str">
        <f aca="false">IF(B519="","",B519&amp;"|"&amp;COUNTIF(B$2:B519,B519))</f>
        <v/>
      </c>
    </row>
    <row r="520" customFormat="false" ht="15" hidden="false" customHeight="false" outlineLevel="0" collapsed="false">
      <c r="A520" s="5"/>
      <c r="B520" s="6"/>
      <c r="C520" s="6"/>
      <c r="D520" s="6"/>
      <c r="E520" s="7" t="str">
        <f aca="false">IF(D520="","",IFERROR(INDEX(Товары!$B$2:$B$200,MATCH(D520,Товары!$A$2:$A$200,0)),"нет в справочнике"))</f>
        <v/>
      </c>
      <c r="F520" s="6"/>
      <c r="G520" s="8" t="str">
        <f aca="false">IF(D520="","",IFERROR(INDEX(Товары!$C$2:$C$200,MATCH(D520,Товары!$A$2:$A$200,0)),0))</f>
        <v/>
      </c>
      <c r="H520" s="8" t="str">
        <f aca="false">IF(D520="","",F520*G520)</f>
        <v/>
      </c>
      <c r="I520" s="8" t="str">
        <f aca="false">IF(D520="","",F520*IFERROR(INDEX(Товары!$D$2:$D$200,MATCH(D520,Товары!$A$2:$A$200,0)),0))</f>
        <v/>
      </c>
      <c r="J520" s="8" t="str">
        <f aca="false">IF(D520="","",H520-I520)</f>
        <v/>
      </c>
      <c r="K520" s="7" t="str">
        <f aca="false">IF(A520="","",MONTH(A520))</f>
        <v/>
      </c>
      <c r="L520" s="7" t="str">
        <f aca="false">IF(A520="","",YEAR(A520))</f>
        <v/>
      </c>
      <c r="M520" s="9" t="str">
        <f aca="false">IF(B520="","",B520&amp;"|"&amp;COUNTIF(B$2:B520,B520))</f>
        <v/>
      </c>
    </row>
    <row r="521" customFormat="false" ht="15" hidden="false" customHeight="false" outlineLevel="0" collapsed="false">
      <c r="A521" s="5"/>
      <c r="B521" s="6"/>
      <c r="C521" s="6"/>
      <c r="D521" s="6"/>
      <c r="E521" s="7" t="str">
        <f aca="false">IF(D521="","",IFERROR(INDEX(Товары!$B$2:$B$200,MATCH(D521,Товары!$A$2:$A$200,0)),"нет в справочнике"))</f>
        <v/>
      </c>
      <c r="F521" s="6"/>
      <c r="G521" s="8" t="str">
        <f aca="false">IF(D521="","",IFERROR(INDEX(Товары!$C$2:$C$200,MATCH(D521,Товары!$A$2:$A$200,0)),0))</f>
        <v/>
      </c>
      <c r="H521" s="8" t="str">
        <f aca="false">IF(D521="","",F521*G521)</f>
        <v/>
      </c>
      <c r="I521" s="8" t="str">
        <f aca="false">IF(D521="","",F521*IFERROR(INDEX(Товары!$D$2:$D$200,MATCH(D521,Товары!$A$2:$A$200,0)),0))</f>
        <v/>
      </c>
      <c r="J521" s="8" t="str">
        <f aca="false">IF(D521="","",H521-I521)</f>
        <v/>
      </c>
      <c r="K521" s="7" t="str">
        <f aca="false">IF(A521="","",MONTH(A521))</f>
        <v/>
      </c>
      <c r="L521" s="7" t="str">
        <f aca="false">IF(A521="","",YEAR(A521))</f>
        <v/>
      </c>
      <c r="M521" s="9" t="str">
        <f aca="false">IF(B521="","",B521&amp;"|"&amp;COUNTIF(B$2:B521,B521))</f>
        <v/>
      </c>
    </row>
    <row r="522" customFormat="false" ht="15" hidden="false" customHeight="false" outlineLevel="0" collapsed="false">
      <c r="A522" s="5"/>
      <c r="B522" s="6"/>
      <c r="C522" s="6"/>
      <c r="D522" s="6"/>
      <c r="E522" s="7" t="str">
        <f aca="false">IF(D522="","",IFERROR(INDEX(Товары!$B$2:$B$200,MATCH(D522,Товары!$A$2:$A$200,0)),"нет в справочнике"))</f>
        <v/>
      </c>
      <c r="F522" s="6"/>
      <c r="G522" s="8" t="str">
        <f aca="false">IF(D522="","",IFERROR(INDEX(Товары!$C$2:$C$200,MATCH(D522,Товары!$A$2:$A$200,0)),0))</f>
        <v/>
      </c>
      <c r="H522" s="8" t="str">
        <f aca="false">IF(D522="","",F522*G522)</f>
        <v/>
      </c>
      <c r="I522" s="8" t="str">
        <f aca="false">IF(D522="","",F522*IFERROR(INDEX(Товары!$D$2:$D$200,MATCH(D522,Товары!$A$2:$A$200,0)),0))</f>
        <v/>
      </c>
      <c r="J522" s="8" t="str">
        <f aca="false">IF(D522="","",H522-I522)</f>
        <v/>
      </c>
      <c r="K522" s="7" t="str">
        <f aca="false">IF(A522="","",MONTH(A522))</f>
        <v/>
      </c>
      <c r="L522" s="7" t="str">
        <f aca="false">IF(A522="","",YEAR(A522))</f>
        <v/>
      </c>
      <c r="M522" s="9" t="str">
        <f aca="false">IF(B522="","",B522&amp;"|"&amp;COUNTIF(B$2:B522,B522))</f>
        <v/>
      </c>
    </row>
    <row r="523" customFormat="false" ht="15" hidden="false" customHeight="false" outlineLevel="0" collapsed="false">
      <c r="A523" s="5"/>
      <c r="B523" s="6"/>
      <c r="C523" s="6"/>
      <c r="D523" s="6"/>
      <c r="E523" s="7" t="str">
        <f aca="false">IF(D523="","",IFERROR(INDEX(Товары!$B$2:$B$200,MATCH(D523,Товары!$A$2:$A$200,0)),"нет в справочнике"))</f>
        <v/>
      </c>
      <c r="F523" s="6"/>
      <c r="G523" s="8" t="str">
        <f aca="false">IF(D523="","",IFERROR(INDEX(Товары!$C$2:$C$200,MATCH(D523,Товары!$A$2:$A$200,0)),0))</f>
        <v/>
      </c>
      <c r="H523" s="8" t="str">
        <f aca="false">IF(D523="","",F523*G523)</f>
        <v/>
      </c>
      <c r="I523" s="8" t="str">
        <f aca="false">IF(D523="","",F523*IFERROR(INDEX(Товары!$D$2:$D$200,MATCH(D523,Товары!$A$2:$A$200,0)),0))</f>
        <v/>
      </c>
      <c r="J523" s="8" t="str">
        <f aca="false">IF(D523="","",H523-I523)</f>
        <v/>
      </c>
      <c r="K523" s="7" t="str">
        <f aca="false">IF(A523="","",MONTH(A523))</f>
        <v/>
      </c>
      <c r="L523" s="7" t="str">
        <f aca="false">IF(A523="","",YEAR(A523))</f>
        <v/>
      </c>
      <c r="M523" s="9" t="str">
        <f aca="false">IF(B523="","",B523&amp;"|"&amp;COUNTIF(B$2:B523,B523))</f>
        <v/>
      </c>
    </row>
    <row r="524" customFormat="false" ht="15" hidden="false" customHeight="false" outlineLevel="0" collapsed="false">
      <c r="A524" s="5"/>
      <c r="B524" s="6"/>
      <c r="C524" s="6"/>
      <c r="D524" s="6"/>
      <c r="E524" s="7" t="str">
        <f aca="false">IF(D524="","",IFERROR(INDEX(Товары!$B$2:$B$200,MATCH(D524,Товары!$A$2:$A$200,0)),"нет в справочнике"))</f>
        <v/>
      </c>
      <c r="F524" s="6"/>
      <c r="G524" s="8" t="str">
        <f aca="false">IF(D524="","",IFERROR(INDEX(Товары!$C$2:$C$200,MATCH(D524,Товары!$A$2:$A$200,0)),0))</f>
        <v/>
      </c>
      <c r="H524" s="8" t="str">
        <f aca="false">IF(D524="","",F524*G524)</f>
        <v/>
      </c>
      <c r="I524" s="8" t="str">
        <f aca="false">IF(D524="","",F524*IFERROR(INDEX(Товары!$D$2:$D$200,MATCH(D524,Товары!$A$2:$A$200,0)),0))</f>
        <v/>
      </c>
      <c r="J524" s="8" t="str">
        <f aca="false">IF(D524="","",H524-I524)</f>
        <v/>
      </c>
      <c r="K524" s="7" t="str">
        <f aca="false">IF(A524="","",MONTH(A524))</f>
        <v/>
      </c>
      <c r="L524" s="7" t="str">
        <f aca="false">IF(A524="","",YEAR(A524))</f>
        <v/>
      </c>
      <c r="M524" s="9" t="str">
        <f aca="false">IF(B524="","",B524&amp;"|"&amp;COUNTIF(B$2:B524,B524))</f>
        <v/>
      </c>
    </row>
    <row r="525" customFormat="false" ht="15" hidden="false" customHeight="false" outlineLevel="0" collapsed="false">
      <c r="A525" s="5"/>
      <c r="B525" s="6"/>
      <c r="C525" s="6"/>
      <c r="D525" s="6"/>
      <c r="E525" s="7" t="str">
        <f aca="false">IF(D525="","",IFERROR(INDEX(Товары!$B$2:$B$200,MATCH(D525,Товары!$A$2:$A$200,0)),"нет в справочнике"))</f>
        <v/>
      </c>
      <c r="F525" s="6"/>
      <c r="G525" s="8" t="str">
        <f aca="false">IF(D525="","",IFERROR(INDEX(Товары!$C$2:$C$200,MATCH(D525,Товары!$A$2:$A$200,0)),0))</f>
        <v/>
      </c>
      <c r="H525" s="8" t="str">
        <f aca="false">IF(D525="","",F525*G525)</f>
        <v/>
      </c>
      <c r="I525" s="8" t="str">
        <f aca="false">IF(D525="","",F525*IFERROR(INDEX(Товары!$D$2:$D$200,MATCH(D525,Товары!$A$2:$A$200,0)),0))</f>
        <v/>
      </c>
      <c r="J525" s="8" t="str">
        <f aca="false">IF(D525="","",H525-I525)</f>
        <v/>
      </c>
      <c r="K525" s="7" t="str">
        <f aca="false">IF(A525="","",MONTH(A525))</f>
        <v/>
      </c>
      <c r="L525" s="7" t="str">
        <f aca="false">IF(A525="","",YEAR(A525))</f>
        <v/>
      </c>
      <c r="M525" s="9" t="str">
        <f aca="false">IF(B525="","",B525&amp;"|"&amp;COUNTIF(B$2:B525,B525))</f>
        <v/>
      </c>
    </row>
    <row r="526" customFormat="false" ht="15" hidden="false" customHeight="false" outlineLevel="0" collapsed="false">
      <c r="A526" s="5"/>
      <c r="B526" s="6"/>
      <c r="C526" s="6"/>
      <c r="D526" s="6"/>
      <c r="E526" s="7" t="str">
        <f aca="false">IF(D526="","",IFERROR(INDEX(Товары!$B$2:$B$200,MATCH(D526,Товары!$A$2:$A$200,0)),"нет в справочнике"))</f>
        <v/>
      </c>
      <c r="F526" s="6"/>
      <c r="G526" s="8" t="str">
        <f aca="false">IF(D526="","",IFERROR(INDEX(Товары!$C$2:$C$200,MATCH(D526,Товары!$A$2:$A$200,0)),0))</f>
        <v/>
      </c>
      <c r="H526" s="8" t="str">
        <f aca="false">IF(D526="","",F526*G526)</f>
        <v/>
      </c>
      <c r="I526" s="8" t="str">
        <f aca="false">IF(D526="","",F526*IFERROR(INDEX(Товары!$D$2:$D$200,MATCH(D526,Товары!$A$2:$A$200,0)),0))</f>
        <v/>
      </c>
      <c r="J526" s="8" t="str">
        <f aca="false">IF(D526="","",H526-I526)</f>
        <v/>
      </c>
      <c r="K526" s="7" t="str">
        <f aca="false">IF(A526="","",MONTH(A526))</f>
        <v/>
      </c>
      <c r="L526" s="7" t="str">
        <f aca="false">IF(A526="","",YEAR(A526))</f>
        <v/>
      </c>
      <c r="M526" s="9" t="str">
        <f aca="false">IF(B526="","",B526&amp;"|"&amp;COUNTIF(B$2:B526,B526))</f>
        <v/>
      </c>
    </row>
    <row r="527" customFormat="false" ht="15" hidden="false" customHeight="false" outlineLevel="0" collapsed="false">
      <c r="A527" s="5"/>
      <c r="B527" s="6"/>
      <c r="C527" s="6"/>
      <c r="D527" s="6"/>
      <c r="E527" s="7" t="str">
        <f aca="false">IF(D527="","",IFERROR(INDEX(Товары!$B$2:$B$200,MATCH(D527,Товары!$A$2:$A$200,0)),"нет в справочнике"))</f>
        <v/>
      </c>
      <c r="F527" s="6"/>
      <c r="G527" s="8" t="str">
        <f aca="false">IF(D527="","",IFERROR(INDEX(Товары!$C$2:$C$200,MATCH(D527,Товары!$A$2:$A$200,0)),0))</f>
        <v/>
      </c>
      <c r="H527" s="8" t="str">
        <f aca="false">IF(D527="","",F527*G527)</f>
        <v/>
      </c>
      <c r="I527" s="8" t="str">
        <f aca="false">IF(D527="","",F527*IFERROR(INDEX(Товары!$D$2:$D$200,MATCH(D527,Товары!$A$2:$A$200,0)),0))</f>
        <v/>
      </c>
      <c r="J527" s="8" t="str">
        <f aca="false">IF(D527="","",H527-I527)</f>
        <v/>
      </c>
      <c r="K527" s="7" t="str">
        <f aca="false">IF(A527="","",MONTH(A527))</f>
        <v/>
      </c>
      <c r="L527" s="7" t="str">
        <f aca="false">IF(A527="","",YEAR(A527))</f>
        <v/>
      </c>
      <c r="M527" s="9" t="str">
        <f aca="false">IF(B527="","",B527&amp;"|"&amp;COUNTIF(B$2:B527,B527))</f>
        <v/>
      </c>
    </row>
    <row r="528" customFormat="false" ht="15" hidden="false" customHeight="false" outlineLevel="0" collapsed="false">
      <c r="A528" s="5"/>
      <c r="B528" s="6"/>
      <c r="C528" s="6"/>
      <c r="D528" s="6"/>
      <c r="E528" s="7" t="str">
        <f aca="false">IF(D528="","",IFERROR(INDEX(Товары!$B$2:$B$200,MATCH(D528,Товары!$A$2:$A$200,0)),"нет в справочнике"))</f>
        <v/>
      </c>
      <c r="F528" s="6"/>
      <c r="G528" s="8" t="str">
        <f aca="false">IF(D528="","",IFERROR(INDEX(Товары!$C$2:$C$200,MATCH(D528,Товары!$A$2:$A$200,0)),0))</f>
        <v/>
      </c>
      <c r="H528" s="8" t="str">
        <f aca="false">IF(D528="","",F528*G528)</f>
        <v/>
      </c>
      <c r="I528" s="8" t="str">
        <f aca="false">IF(D528="","",F528*IFERROR(INDEX(Товары!$D$2:$D$200,MATCH(D528,Товары!$A$2:$A$200,0)),0))</f>
        <v/>
      </c>
      <c r="J528" s="8" t="str">
        <f aca="false">IF(D528="","",H528-I528)</f>
        <v/>
      </c>
      <c r="K528" s="7" t="str">
        <f aca="false">IF(A528="","",MONTH(A528))</f>
        <v/>
      </c>
      <c r="L528" s="7" t="str">
        <f aca="false">IF(A528="","",YEAR(A528))</f>
        <v/>
      </c>
      <c r="M528" s="9" t="str">
        <f aca="false">IF(B528="","",B528&amp;"|"&amp;COUNTIF(B$2:B528,B528))</f>
        <v/>
      </c>
    </row>
    <row r="529" customFormat="false" ht="15" hidden="false" customHeight="false" outlineLevel="0" collapsed="false">
      <c r="A529" s="5"/>
      <c r="B529" s="6"/>
      <c r="C529" s="6"/>
      <c r="D529" s="6"/>
      <c r="E529" s="7" t="str">
        <f aca="false">IF(D529="","",IFERROR(INDEX(Товары!$B$2:$B$200,MATCH(D529,Товары!$A$2:$A$200,0)),"нет в справочнике"))</f>
        <v/>
      </c>
      <c r="F529" s="6"/>
      <c r="G529" s="8" t="str">
        <f aca="false">IF(D529="","",IFERROR(INDEX(Товары!$C$2:$C$200,MATCH(D529,Товары!$A$2:$A$200,0)),0))</f>
        <v/>
      </c>
      <c r="H529" s="8" t="str">
        <f aca="false">IF(D529="","",F529*G529)</f>
        <v/>
      </c>
      <c r="I529" s="8" t="str">
        <f aca="false">IF(D529="","",F529*IFERROR(INDEX(Товары!$D$2:$D$200,MATCH(D529,Товары!$A$2:$A$200,0)),0))</f>
        <v/>
      </c>
      <c r="J529" s="8" t="str">
        <f aca="false">IF(D529="","",H529-I529)</f>
        <v/>
      </c>
      <c r="K529" s="7" t="str">
        <f aca="false">IF(A529="","",MONTH(A529))</f>
        <v/>
      </c>
      <c r="L529" s="7" t="str">
        <f aca="false">IF(A529="","",YEAR(A529))</f>
        <v/>
      </c>
      <c r="M529" s="9" t="str">
        <f aca="false">IF(B529="","",B529&amp;"|"&amp;COUNTIF(B$2:B529,B529))</f>
        <v/>
      </c>
    </row>
    <row r="530" customFormat="false" ht="15" hidden="false" customHeight="false" outlineLevel="0" collapsed="false">
      <c r="A530" s="5"/>
      <c r="B530" s="6"/>
      <c r="C530" s="6"/>
      <c r="D530" s="6"/>
      <c r="E530" s="7" t="str">
        <f aca="false">IF(D530="","",IFERROR(INDEX(Товары!$B$2:$B$200,MATCH(D530,Товары!$A$2:$A$200,0)),"нет в справочнике"))</f>
        <v/>
      </c>
      <c r="F530" s="6"/>
      <c r="G530" s="8" t="str">
        <f aca="false">IF(D530="","",IFERROR(INDEX(Товары!$C$2:$C$200,MATCH(D530,Товары!$A$2:$A$200,0)),0))</f>
        <v/>
      </c>
      <c r="H530" s="8" t="str">
        <f aca="false">IF(D530="","",F530*G530)</f>
        <v/>
      </c>
      <c r="I530" s="8" t="str">
        <f aca="false">IF(D530="","",F530*IFERROR(INDEX(Товары!$D$2:$D$200,MATCH(D530,Товары!$A$2:$A$200,0)),0))</f>
        <v/>
      </c>
      <c r="J530" s="8" t="str">
        <f aca="false">IF(D530="","",H530-I530)</f>
        <v/>
      </c>
      <c r="K530" s="7" t="str">
        <f aca="false">IF(A530="","",MONTH(A530))</f>
        <v/>
      </c>
      <c r="L530" s="7" t="str">
        <f aca="false">IF(A530="","",YEAR(A530))</f>
        <v/>
      </c>
      <c r="M530" s="9" t="str">
        <f aca="false">IF(B530="","",B530&amp;"|"&amp;COUNTIF(B$2:B530,B530))</f>
        <v/>
      </c>
    </row>
    <row r="531" customFormat="false" ht="15" hidden="false" customHeight="false" outlineLevel="0" collapsed="false">
      <c r="A531" s="5"/>
      <c r="B531" s="6"/>
      <c r="C531" s="6"/>
      <c r="D531" s="6"/>
      <c r="E531" s="7" t="str">
        <f aca="false">IF(D531="","",IFERROR(INDEX(Товары!$B$2:$B$200,MATCH(D531,Товары!$A$2:$A$200,0)),"нет в справочнике"))</f>
        <v/>
      </c>
      <c r="F531" s="6"/>
      <c r="G531" s="8" t="str">
        <f aca="false">IF(D531="","",IFERROR(INDEX(Товары!$C$2:$C$200,MATCH(D531,Товары!$A$2:$A$200,0)),0))</f>
        <v/>
      </c>
      <c r="H531" s="8" t="str">
        <f aca="false">IF(D531="","",F531*G531)</f>
        <v/>
      </c>
      <c r="I531" s="8" t="str">
        <f aca="false">IF(D531="","",F531*IFERROR(INDEX(Товары!$D$2:$D$200,MATCH(D531,Товары!$A$2:$A$200,0)),0))</f>
        <v/>
      </c>
      <c r="J531" s="8" t="str">
        <f aca="false">IF(D531="","",H531-I531)</f>
        <v/>
      </c>
      <c r="K531" s="7" t="str">
        <f aca="false">IF(A531="","",MONTH(A531))</f>
        <v/>
      </c>
      <c r="L531" s="7" t="str">
        <f aca="false">IF(A531="","",YEAR(A531))</f>
        <v/>
      </c>
      <c r="M531" s="9" t="str">
        <f aca="false">IF(B531="","",B531&amp;"|"&amp;COUNTIF(B$2:B531,B531))</f>
        <v/>
      </c>
    </row>
    <row r="532" customFormat="false" ht="15" hidden="false" customHeight="false" outlineLevel="0" collapsed="false">
      <c r="A532" s="5"/>
      <c r="B532" s="6"/>
      <c r="C532" s="6"/>
      <c r="D532" s="6"/>
      <c r="E532" s="7" t="str">
        <f aca="false">IF(D532="","",IFERROR(INDEX(Товары!$B$2:$B$200,MATCH(D532,Товары!$A$2:$A$200,0)),"нет в справочнике"))</f>
        <v/>
      </c>
      <c r="F532" s="6"/>
      <c r="G532" s="8" t="str">
        <f aca="false">IF(D532="","",IFERROR(INDEX(Товары!$C$2:$C$200,MATCH(D532,Товары!$A$2:$A$200,0)),0))</f>
        <v/>
      </c>
      <c r="H532" s="8" t="str">
        <f aca="false">IF(D532="","",F532*G532)</f>
        <v/>
      </c>
      <c r="I532" s="8" t="str">
        <f aca="false">IF(D532="","",F532*IFERROR(INDEX(Товары!$D$2:$D$200,MATCH(D532,Товары!$A$2:$A$200,0)),0))</f>
        <v/>
      </c>
      <c r="J532" s="8" t="str">
        <f aca="false">IF(D532="","",H532-I532)</f>
        <v/>
      </c>
      <c r="K532" s="7" t="str">
        <f aca="false">IF(A532="","",MONTH(A532))</f>
        <v/>
      </c>
      <c r="L532" s="7" t="str">
        <f aca="false">IF(A532="","",YEAR(A532))</f>
        <v/>
      </c>
      <c r="M532" s="9" t="str">
        <f aca="false">IF(B532="","",B532&amp;"|"&amp;COUNTIF(B$2:B532,B532))</f>
        <v/>
      </c>
    </row>
    <row r="533" customFormat="false" ht="15" hidden="false" customHeight="false" outlineLevel="0" collapsed="false">
      <c r="A533" s="5"/>
      <c r="B533" s="6"/>
      <c r="C533" s="6"/>
      <c r="D533" s="6"/>
      <c r="E533" s="7" t="str">
        <f aca="false">IF(D533="","",IFERROR(INDEX(Товары!$B$2:$B$200,MATCH(D533,Товары!$A$2:$A$200,0)),"нет в справочнике"))</f>
        <v/>
      </c>
      <c r="F533" s="6"/>
      <c r="G533" s="8" t="str">
        <f aca="false">IF(D533="","",IFERROR(INDEX(Товары!$C$2:$C$200,MATCH(D533,Товары!$A$2:$A$200,0)),0))</f>
        <v/>
      </c>
      <c r="H533" s="8" t="str">
        <f aca="false">IF(D533="","",F533*G533)</f>
        <v/>
      </c>
      <c r="I533" s="8" t="str">
        <f aca="false">IF(D533="","",F533*IFERROR(INDEX(Товары!$D$2:$D$200,MATCH(D533,Товары!$A$2:$A$200,0)),0))</f>
        <v/>
      </c>
      <c r="J533" s="8" t="str">
        <f aca="false">IF(D533="","",H533-I533)</f>
        <v/>
      </c>
      <c r="K533" s="7" t="str">
        <f aca="false">IF(A533="","",MONTH(A533))</f>
        <v/>
      </c>
      <c r="L533" s="7" t="str">
        <f aca="false">IF(A533="","",YEAR(A533))</f>
        <v/>
      </c>
      <c r="M533" s="9" t="str">
        <f aca="false">IF(B533="","",B533&amp;"|"&amp;COUNTIF(B$2:B533,B533))</f>
        <v/>
      </c>
    </row>
    <row r="534" customFormat="false" ht="15" hidden="false" customHeight="false" outlineLevel="0" collapsed="false">
      <c r="A534" s="5"/>
      <c r="B534" s="6"/>
      <c r="C534" s="6"/>
      <c r="D534" s="6"/>
      <c r="E534" s="7" t="str">
        <f aca="false">IF(D534="","",IFERROR(INDEX(Товары!$B$2:$B$200,MATCH(D534,Товары!$A$2:$A$200,0)),"нет в справочнике"))</f>
        <v/>
      </c>
      <c r="F534" s="6"/>
      <c r="G534" s="8" t="str">
        <f aca="false">IF(D534="","",IFERROR(INDEX(Товары!$C$2:$C$200,MATCH(D534,Товары!$A$2:$A$200,0)),0))</f>
        <v/>
      </c>
      <c r="H534" s="8" t="str">
        <f aca="false">IF(D534="","",F534*G534)</f>
        <v/>
      </c>
      <c r="I534" s="8" t="str">
        <f aca="false">IF(D534="","",F534*IFERROR(INDEX(Товары!$D$2:$D$200,MATCH(D534,Товары!$A$2:$A$200,0)),0))</f>
        <v/>
      </c>
      <c r="J534" s="8" t="str">
        <f aca="false">IF(D534="","",H534-I534)</f>
        <v/>
      </c>
      <c r="K534" s="7" t="str">
        <f aca="false">IF(A534="","",MONTH(A534))</f>
        <v/>
      </c>
      <c r="L534" s="7" t="str">
        <f aca="false">IF(A534="","",YEAR(A534))</f>
        <v/>
      </c>
      <c r="M534" s="9" t="str">
        <f aca="false">IF(B534="","",B534&amp;"|"&amp;COUNTIF(B$2:B534,B534))</f>
        <v/>
      </c>
    </row>
    <row r="535" customFormat="false" ht="15" hidden="false" customHeight="false" outlineLevel="0" collapsed="false">
      <c r="A535" s="5"/>
      <c r="B535" s="6"/>
      <c r="C535" s="6"/>
      <c r="D535" s="6"/>
      <c r="E535" s="7" t="str">
        <f aca="false">IF(D535="","",IFERROR(INDEX(Товары!$B$2:$B$200,MATCH(D535,Товары!$A$2:$A$200,0)),"нет в справочнике"))</f>
        <v/>
      </c>
      <c r="F535" s="6"/>
      <c r="G535" s="8" t="str">
        <f aca="false">IF(D535="","",IFERROR(INDEX(Товары!$C$2:$C$200,MATCH(D535,Товары!$A$2:$A$200,0)),0))</f>
        <v/>
      </c>
      <c r="H535" s="8" t="str">
        <f aca="false">IF(D535="","",F535*G535)</f>
        <v/>
      </c>
      <c r="I535" s="8" t="str">
        <f aca="false">IF(D535="","",F535*IFERROR(INDEX(Товары!$D$2:$D$200,MATCH(D535,Товары!$A$2:$A$200,0)),0))</f>
        <v/>
      </c>
      <c r="J535" s="8" t="str">
        <f aca="false">IF(D535="","",H535-I535)</f>
        <v/>
      </c>
      <c r="K535" s="7" t="str">
        <f aca="false">IF(A535="","",MONTH(A535))</f>
        <v/>
      </c>
      <c r="L535" s="7" t="str">
        <f aca="false">IF(A535="","",YEAR(A535))</f>
        <v/>
      </c>
      <c r="M535" s="9" t="str">
        <f aca="false">IF(B535="","",B535&amp;"|"&amp;COUNTIF(B$2:B535,B535))</f>
        <v/>
      </c>
    </row>
    <row r="536" customFormat="false" ht="15" hidden="false" customHeight="false" outlineLevel="0" collapsed="false">
      <c r="A536" s="5"/>
      <c r="B536" s="6"/>
      <c r="C536" s="6"/>
      <c r="D536" s="6"/>
      <c r="E536" s="7" t="str">
        <f aca="false">IF(D536="","",IFERROR(INDEX(Товары!$B$2:$B$200,MATCH(D536,Товары!$A$2:$A$200,0)),"нет в справочнике"))</f>
        <v/>
      </c>
      <c r="F536" s="6"/>
      <c r="G536" s="8" t="str">
        <f aca="false">IF(D536="","",IFERROR(INDEX(Товары!$C$2:$C$200,MATCH(D536,Товары!$A$2:$A$200,0)),0))</f>
        <v/>
      </c>
      <c r="H536" s="8" t="str">
        <f aca="false">IF(D536="","",F536*G536)</f>
        <v/>
      </c>
      <c r="I536" s="8" t="str">
        <f aca="false">IF(D536="","",F536*IFERROR(INDEX(Товары!$D$2:$D$200,MATCH(D536,Товары!$A$2:$A$200,0)),0))</f>
        <v/>
      </c>
      <c r="J536" s="8" t="str">
        <f aca="false">IF(D536="","",H536-I536)</f>
        <v/>
      </c>
      <c r="K536" s="7" t="str">
        <f aca="false">IF(A536="","",MONTH(A536))</f>
        <v/>
      </c>
      <c r="L536" s="7" t="str">
        <f aca="false">IF(A536="","",YEAR(A536))</f>
        <v/>
      </c>
      <c r="M536" s="9" t="str">
        <f aca="false">IF(B536="","",B536&amp;"|"&amp;COUNTIF(B$2:B536,B536))</f>
        <v/>
      </c>
    </row>
    <row r="537" customFormat="false" ht="15" hidden="false" customHeight="false" outlineLevel="0" collapsed="false">
      <c r="A537" s="5"/>
      <c r="B537" s="6"/>
      <c r="C537" s="6"/>
      <c r="D537" s="6"/>
      <c r="E537" s="7" t="str">
        <f aca="false">IF(D537="","",IFERROR(INDEX(Товары!$B$2:$B$200,MATCH(D537,Товары!$A$2:$A$200,0)),"нет в справочнике"))</f>
        <v/>
      </c>
      <c r="F537" s="6"/>
      <c r="G537" s="8" t="str">
        <f aca="false">IF(D537="","",IFERROR(INDEX(Товары!$C$2:$C$200,MATCH(D537,Товары!$A$2:$A$200,0)),0))</f>
        <v/>
      </c>
      <c r="H537" s="8" t="str">
        <f aca="false">IF(D537="","",F537*G537)</f>
        <v/>
      </c>
      <c r="I537" s="8" t="str">
        <f aca="false">IF(D537="","",F537*IFERROR(INDEX(Товары!$D$2:$D$200,MATCH(D537,Товары!$A$2:$A$200,0)),0))</f>
        <v/>
      </c>
      <c r="J537" s="8" t="str">
        <f aca="false">IF(D537="","",H537-I537)</f>
        <v/>
      </c>
      <c r="K537" s="7" t="str">
        <f aca="false">IF(A537="","",MONTH(A537))</f>
        <v/>
      </c>
      <c r="L537" s="7" t="str">
        <f aca="false">IF(A537="","",YEAR(A537))</f>
        <v/>
      </c>
      <c r="M537" s="9" t="str">
        <f aca="false">IF(B537="","",B537&amp;"|"&amp;COUNTIF(B$2:B537,B537))</f>
        <v/>
      </c>
    </row>
    <row r="538" customFormat="false" ht="15" hidden="false" customHeight="false" outlineLevel="0" collapsed="false">
      <c r="A538" s="5"/>
      <c r="B538" s="6"/>
      <c r="C538" s="6"/>
      <c r="D538" s="6"/>
      <c r="E538" s="7" t="str">
        <f aca="false">IF(D538="","",IFERROR(INDEX(Товары!$B$2:$B$200,MATCH(D538,Товары!$A$2:$A$200,0)),"нет в справочнике"))</f>
        <v/>
      </c>
      <c r="F538" s="6"/>
      <c r="G538" s="8" t="str">
        <f aca="false">IF(D538="","",IFERROR(INDEX(Товары!$C$2:$C$200,MATCH(D538,Товары!$A$2:$A$200,0)),0))</f>
        <v/>
      </c>
      <c r="H538" s="8" t="str">
        <f aca="false">IF(D538="","",F538*G538)</f>
        <v/>
      </c>
      <c r="I538" s="8" t="str">
        <f aca="false">IF(D538="","",F538*IFERROR(INDEX(Товары!$D$2:$D$200,MATCH(D538,Товары!$A$2:$A$200,0)),0))</f>
        <v/>
      </c>
      <c r="J538" s="8" t="str">
        <f aca="false">IF(D538="","",H538-I538)</f>
        <v/>
      </c>
      <c r="K538" s="7" t="str">
        <f aca="false">IF(A538="","",MONTH(A538))</f>
        <v/>
      </c>
      <c r="L538" s="7" t="str">
        <f aca="false">IF(A538="","",YEAR(A538))</f>
        <v/>
      </c>
      <c r="M538" s="9" t="str">
        <f aca="false">IF(B538="","",B538&amp;"|"&amp;COUNTIF(B$2:B538,B538))</f>
        <v/>
      </c>
    </row>
    <row r="539" customFormat="false" ht="15" hidden="false" customHeight="false" outlineLevel="0" collapsed="false">
      <c r="A539" s="5"/>
      <c r="B539" s="6"/>
      <c r="C539" s="6"/>
      <c r="D539" s="6"/>
      <c r="E539" s="7" t="str">
        <f aca="false">IF(D539="","",IFERROR(INDEX(Товары!$B$2:$B$200,MATCH(D539,Товары!$A$2:$A$200,0)),"нет в справочнике"))</f>
        <v/>
      </c>
      <c r="F539" s="6"/>
      <c r="G539" s="8" t="str">
        <f aca="false">IF(D539="","",IFERROR(INDEX(Товары!$C$2:$C$200,MATCH(D539,Товары!$A$2:$A$200,0)),0))</f>
        <v/>
      </c>
      <c r="H539" s="8" t="str">
        <f aca="false">IF(D539="","",F539*G539)</f>
        <v/>
      </c>
      <c r="I539" s="8" t="str">
        <f aca="false">IF(D539="","",F539*IFERROR(INDEX(Товары!$D$2:$D$200,MATCH(D539,Товары!$A$2:$A$200,0)),0))</f>
        <v/>
      </c>
      <c r="J539" s="8" t="str">
        <f aca="false">IF(D539="","",H539-I539)</f>
        <v/>
      </c>
      <c r="K539" s="7" t="str">
        <f aca="false">IF(A539="","",MONTH(A539))</f>
        <v/>
      </c>
      <c r="L539" s="7" t="str">
        <f aca="false">IF(A539="","",YEAR(A539))</f>
        <v/>
      </c>
      <c r="M539" s="9" t="str">
        <f aca="false">IF(B539="","",B539&amp;"|"&amp;COUNTIF(B$2:B539,B539))</f>
        <v/>
      </c>
    </row>
    <row r="540" customFormat="false" ht="15" hidden="false" customHeight="false" outlineLevel="0" collapsed="false">
      <c r="A540" s="5"/>
      <c r="B540" s="6"/>
      <c r="C540" s="6"/>
      <c r="D540" s="6"/>
      <c r="E540" s="7" t="str">
        <f aca="false">IF(D540="","",IFERROR(INDEX(Товары!$B$2:$B$200,MATCH(D540,Товары!$A$2:$A$200,0)),"нет в справочнике"))</f>
        <v/>
      </c>
      <c r="F540" s="6"/>
      <c r="G540" s="8" t="str">
        <f aca="false">IF(D540="","",IFERROR(INDEX(Товары!$C$2:$C$200,MATCH(D540,Товары!$A$2:$A$200,0)),0))</f>
        <v/>
      </c>
      <c r="H540" s="8" t="str">
        <f aca="false">IF(D540="","",F540*G540)</f>
        <v/>
      </c>
      <c r="I540" s="8" t="str">
        <f aca="false">IF(D540="","",F540*IFERROR(INDEX(Товары!$D$2:$D$200,MATCH(D540,Товары!$A$2:$A$200,0)),0))</f>
        <v/>
      </c>
      <c r="J540" s="8" t="str">
        <f aca="false">IF(D540="","",H540-I540)</f>
        <v/>
      </c>
      <c r="K540" s="7" t="str">
        <f aca="false">IF(A540="","",MONTH(A540))</f>
        <v/>
      </c>
      <c r="L540" s="7" t="str">
        <f aca="false">IF(A540="","",YEAR(A540))</f>
        <v/>
      </c>
      <c r="M540" s="9" t="str">
        <f aca="false">IF(B540="","",B540&amp;"|"&amp;COUNTIF(B$2:B540,B540))</f>
        <v/>
      </c>
    </row>
    <row r="541" customFormat="false" ht="15" hidden="false" customHeight="false" outlineLevel="0" collapsed="false">
      <c r="A541" s="5"/>
      <c r="B541" s="6"/>
      <c r="C541" s="6"/>
      <c r="D541" s="6"/>
      <c r="E541" s="7" t="str">
        <f aca="false">IF(D541="","",IFERROR(INDEX(Товары!$B$2:$B$200,MATCH(D541,Товары!$A$2:$A$200,0)),"нет в справочнике"))</f>
        <v/>
      </c>
      <c r="F541" s="6"/>
      <c r="G541" s="8" t="str">
        <f aca="false">IF(D541="","",IFERROR(INDEX(Товары!$C$2:$C$200,MATCH(D541,Товары!$A$2:$A$200,0)),0))</f>
        <v/>
      </c>
      <c r="H541" s="8" t="str">
        <f aca="false">IF(D541="","",F541*G541)</f>
        <v/>
      </c>
      <c r="I541" s="8" t="str">
        <f aca="false">IF(D541="","",F541*IFERROR(INDEX(Товары!$D$2:$D$200,MATCH(D541,Товары!$A$2:$A$200,0)),0))</f>
        <v/>
      </c>
      <c r="J541" s="8" t="str">
        <f aca="false">IF(D541="","",H541-I541)</f>
        <v/>
      </c>
      <c r="K541" s="7" t="str">
        <f aca="false">IF(A541="","",MONTH(A541))</f>
        <v/>
      </c>
      <c r="L541" s="7" t="str">
        <f aca="false">IF(A541="","",YEAR(A541))</f>
        <v/>
      </c>
      <c r="M541" s="9" t="str">
        <f aca="false">IF(B541="","",B541&amp;"|"&amp;COUNTIF(B$2:B541,B541))</f>
        <v/>
      </c>
    </row>
    <row r="542" customFormat="false" ht="15" hidden="false" customHeight="false" outlineLevel="0" collapsed="false">
      <c r="A542" s="5"/>
      <c r="B542" s="6"/>
      <c r="C542" s="6"/>
      <c r="D542" s="6"/>
      <c r="E542" s="7" t="str">
        <f aca="false">IF(D542="","",IFERROR(INDEX(Товары!$B$2:$B$200,MATCH(D542,Товары!$A$2:$A$200,0)),"нет в справочнике"))</f>
        <v/>
      </c>
      <c r="F542" s="6"/>
      <c r="G542" s="8" t="str">
        <f aca="false">IF(D542="","",IFERROR(INDEX(Товары!$C$2:$C$200,MATCH(D542,Товары!$A$2:$A$200,0)),0))</f>
        <v/>
      </c>
      <c r="H542" s="8" t="str">
        <f aca="false">IF(D542="","",F542*G542)</f>
        <v/>
      </c>
      <c r="I542" s="8" t="str">
        <f aca="false">IF(D542="","",F542*IFERROR(INDEX(Товары!$D$2:$D$200,MATCH(D542,Товары!$A$2:$A$200,0)),0))</f>
        <v/>
      </c>
      <c r="J542" s="8" t="str">
        <f aca="false">IF(D542="","",H542-I542)</f>
        <v/>
      </c>
      <c r="K542" s="7" t="str">
        <f aca="false">IF(A542="","",MONTH(A542))</f>
        <v/>
      </c>
      <c r="L542" s="7" t="str">
        <f aca="false">IF(A542="","",YEAR(A542))</f>
        <v/>
      </c>
      <c r="M542" s="9" t="str">
        <f aca="false">IF(B542="","",B542&amp;"|"&amp;COUNTIF(B$2:B542,B542))</f>
        <v/>
      </c>
    </row>
    <row r="543" customFormat="false" ht="15" hidden="false" customHeight="false" outlineLevel="0" collapsed="false">
      <c r="A543" s="5"/>
      <c r="B543" s="6"/>
      <c r="C543" s="6"/>
      <c r="D543" s="6"/>
      <c r="E543" s="7" t="str">
        <f aca="false">IF(D543="","",IFERROR(INDEX(Товары!$B$2:$B$200,MATCH(D543,Товары!$A$2:$A$200,0)),"нет в справочнике"))</f>
        <v/>
      </c>
      <c r="F543" s="6"/>
      <c r="G543" s="8" t="str">
        <f aca="false">IF(D543="","",IFERROR(INDEX(Товары!$C$2:$C$200,MATCH(D543,Товары!$A$2:$A$200,0)),0))</f>
        <v/>
      </c>
      <c r="H543" s="8" t="str">
        <f aca="false">IF(D543="","",F543*G543)</f>
        <v/>
      </c>
      <c r="I543" s="8" t="str">
        <f aca="false">IF(D543="","",F543*IFERROR(INDEX(Товары!$D$2:$D$200,MATCH(D543,Товары!$A$2:$A$200,0)),0))</f>
        <v/>
      </c>
      <c r="J543" s="8" t="str">
        <f aca="false">IF(D543="","",H543-I543)</f>
        <v/>
      </c>
      <c r="K543" s="7" t="str">
        <f aca="false">IF(A543="","",MONTH(A543))</f>
        <v/>
      </c>
      <c r="L543" s="7" t="str">
        <f aca="false">IF(A543="","",YEAR(A543))</f>
        <v/>
      </c>
      <c r="M543" s="9" t="str">
        <f aca="false">IF(B543="","",B543&amp;"|"&amp;COUNTIF(B$2:B543,B543))</f>
        <v/>
      </c>
    </row>
    <row r="544" customFormat="false" ht="15" hidden="false" customHeight="false" outlineLevel="0" collapsed="false">
      <c r="A544" s="5"/>
      <c r="B544" s="6"/>
      <c r="C544" s="6"/>
      <c r="D544" s="6"/>
      <c r="E544" s="7" t="str">
        <f aca="false">IF(D544="","",IFERROR(INDEX(Товары!$B$2:$B$200,MATCH(D544,Товары!$A$2:$A$200,0)),"нет в справочнике"))</f>
        <v/>
      </c>
      <c r="F544" s="6"/>
      <c r="G544" s="8" t="str">
        <f aca="false">IF(D544="","",IFERROR(INDEX(Товары!$C$2:$C$200,MATCH(D544,Товары!$A$2:$A$200,0)),0))</f>
        <v/>
      </c>
      <c r="H544" s="8" t="str">
        <f aca="false">IF(D544="","",F544*G544)</f>
        <v/>
      </c>
      <c r="I544" s="8" t="str">
        <f aca="false">IF(D544="","",F544*IFERROR(INDEX(Товары!$D$2:$D$200,MATCH(D544,Товары!$A$2:$A$200,0)),0))</f>
        <v/>
      </c>
      <c r="J544" s="8" t="str">
        <f aca="false">IF(D544="","",H544-I544)</f>
        <v/>
      </c>
      <c r="K544" s="7" t="str">
        <f aca="false">IF(A544="","",MONTH(A544))</f>
        <v/>
      </c>
      <c r="L544" s="7" t="str">
        <f aca="false">IF(A544="","",YEAR(A544))</f>
        <v/>
      </c>
      <c r="M544" s="9" t="str">
        <f aca="false">IF(B544="","",B544&amp;"|"&amp;COUNTIF(B$2:B544,B544))</f>
        <v/>
      </c>
    </row>
    <row r="545" customFormat="false" ht="15" hidden="false" customHeight="false" outlineLevel="0" collapsed="false">
      <c r="A545" s="5"/>
      <c r="B545" s="6"/>
      <c r="C545" s="6"/>
      <c r="D545" s="6"/>
      <c r="E545" s="7" t="str">
        <f aca="false">IF(D545="","",IFERROR(INDEX(Товары!$B$2:$B$200,MATCH(D545,Товары!$A$2:$A$200,0)),"нет в справочнике"))</f>
        <v/>
      </c>
      <c r="F545" s="6"/>
      <c r="G545" s="8" t="str">
        <f aca="false">IF(D545="","",IFERROR(INDEX(Товары!$C$2:$C$200,MATCH(D545,Товары!$A$2:$A$200,0)),0))</f>
        <v/>
      </c>
      <c r="H545" s="8" t="str">
        <f aca="false">IF(D545="","",F545*G545)</f>
        <v/>
      </c>
      <c r="I545" s="8" t="str">
        <f aca="false">IF(D545="","",F545*IFERROR(INDEX(Товары!$D$2:$D$200,MATCH(D545,Товары!$A$2:$A$200,0)),0))</f>
        <v/>
      </c>
      <c r="J545" s="8" t="str">
        <f aca="false">IF(D545="","",H545-I545)</f>
        <v/>
      </c>
      <c r="K545" s="7" t="str">
        <f aca="false">IF(A545="","",MONTH(A545))</f>
        <v/>
      </c>
      <c r="L545" s="7" t="str">
        <f aca="false">IF(A545="","",YEAR(A545))</f>
        <v/>
      </c>
      <c r="M545" s="9" t="str">
        <f aca="false">IF(B545="","",B545&amp;"|"&amp;COUNTIF(B$2:B545,B545))</f>
        <v/>
      </c>
    </row>
    <row r="546" customFormat="false" ht="15" hidden="false" customHeight="false" outlineLevel="0" collapsed="false">
      <c r="A546" s="5"/>
      <c r="B546" s="6"/>
      <c r="C546" s="6"/>
      <c r="D546" s="6"/>
      <c r="E546" s="7" t="str">
        <f aca="false">IF(D546="","",IFERROR(INDEX(Товары!$B$2:$B$200,MATCH(D546,Товары!$A$2:$A$200,0)),"нет в справочнике"))</f>
        <v/>
      </c>
      <c r="F546" s="6"/>
      <c r="G546" s="8" t="str">
        <f aca="false">IF(D546="","",IFERROR(INDEX(Товары!$C$2:$C$200,MATCH(D546,Товары!$A$2:$A$200,0)),0))</f>
        <v/>
      </c>
      <c r="H546" s="8" t="str">
        <f aca="false">IF(D546="","",F546*G546)</f>
        <v/>
      </c>
      <c r="I546" s="8" t="str">
        <f aca="false">IF(D546="","",F546*IFERROR(INDEX(Товары!$D$2:$D$200,MATCH(D546,Товары!$A$2:$A$200,0)),0))</f>
        <v/>
      </c>
      <c r="J546" s="8" t="str">
        <f aca="false">IF(D546="","",H546-I546)</f>
        <v/>
      </c>
      <c r="K546" s="7" t="str">
        <f aca="false">IF(A546="","",MONTH(A546))</f>
        <v/>
      </c>
      <c r="L546" s="7" t="str">
        <f aca="false">IF(A546="","",YEAR(A546))</f>
        <v/>
      </c>
      <c r="M546" s="9" t="str">
        <f aca="false">IF(B546="","",B546&amp;"|"&amp;COUNTIF(B$2:B546,B546))</f>
        <v/>
      </c>
    </row>
    <row r="547" customFormat="false" ht="15" hidden="false" customHeight="false" outlineLevel="0" collapsed="false">
      <c r="A547" s="5"/>
      <c r="B547" s="6"/>
      <c r="C547" s="6"/>
      <c r="D547" s="6"/>
      <c r="E547" s="7" t="str">
        <f aca="false">IF(D547="","",IFERROR(INDEX(Товары!$B$2:$B$200,MATCH(D547,Товары!$A$2:$A$200,0)),"нет в справочнике"))</f>
        <v/>
      </c>
      <c r="F547" s="6"/>
      <c r="G547" s="8" t="str">
        <f aca="false">IF(D547="","",IFERROR(INDEX(Товары!$C$2:$C$200,MATCH(D547,Товары!$A$2:$A$200,0)),0))</f>
        <v/>
      </c>
      <c r="H547" s="8" t="str">
        <f aca="false">IF(D547="","",F547*G547)</f>
        <v/>
      </c>
      <c r="I547" s="8" t="str">
        <f aca="false">IF(D547="","",F547*IFERROR(INDEX(Товары!$D$2:$D$200,MATCH(D547,Товары!$A$2:$A$200,0)),0))</f>
        <v/>
      </c>
      <c r="J547" s="8" t="str">
        <f aca="false">IF(D547="","",H547-I547)</f>
        <v/>
      </c>
      <c r="K547" s="7" t="str">
        <f aca="false">IF(A547="","",MONTH(A547))</f>
        <v/>
      </c>
      <c r="L547" s="7" t="str">
        <f aca="false">IF(A547="","",YEAR(A547))</f>
        <v/>
      </c>
      <c r="M547" s="9" t="str">
        <f aca="false">IF(B547="","",B547&amp;"|"&amp;COUNTIF(B$2:B547,B547))</f>
        <v/>
      </c>
    </row>
    <row r="548" customFormat="false" ht="15" hidden="false" customHeight="false" outlineLevel="0" collapsed="false">
      <c r="A548" s="5"/>
      <c r="B548" s="6"/>
      <c r="C548" s="6"/>
      <c r="D548" s="6"/>
      <c r="E548" s="7" t="str">
        <f aca="false">IF(D548="","",IFERROR(INDEX(Товары!$B$2:$B$200,MATCH(D548,Товары!$A$2:$A$200,0)),"нет в справочнике"))</f>
        <v/>
      </c>
      <c r="F548" s="6"/>
      <c r="G548" s="8" t="str">
        <f aca="false">IF(D548="","",IFERROR(INDEX(Товары!$C$2:$C$200,MATCH(D548,Товары!$A$2:$A$200,0)),0))</f>
        <v/>
      </c>
      <c r="H548" s="8" t="str">
        <f aca="false">IF(D548="","",F548*G548)</f>
        <v/>
      </c>
      <c r="I548" s="8" t="str">
        <f aca="false">IF(D548="","",F548*IFERROR(INDEX(Товары!$D$2:$D$200,MATCH(D548,Товары!$A$2:$A$200,0)),0))</f>
        <v/>
      </c>
      <c r="J548" s="8" t="str">
        <f aca="false">IF(D548="","",H548-I548)</f>
        <v/>
      </c>
      <c r="K548" s="7" t="str">
        <f aca="false">IF(A548="","",MONTH(A548))</f>
        <v/>
      </c>
      <c r="L548" s="7" t="str">
        <f aca="false">IF(A548="","",YEAR(A548))</f>
        <v/>
      </c>
      <c r="M548" s="9" t="str">
        <f aca="false">IF(B548="","",B548&amp;"|"&amp;COUNTIF(B$2:B548,B548))</f>
        <v/>
      </c>
    </row>
    <row r="549" customFormat="false" ht="15" hidden="false" customHeight="false" outlineLevel="0" collapsed="false">
      <c r="A549" s="5"/>
      <c r="B549" s="6"/>
      <c r="C549" s="6"/>
      <c r="D549" s="6"/>
      <c r="E549" s="7" t="str">
        <f aca="false">IF(D549="","",IFERROR(INDEX(Товары!$B$2:$B$200,MATCH(D549,Товары!$A$2:$A$200,0)),"нет в справочнике"))</f>
        <v/>
      </c>
      <c r="F549" s="6"/>
      <c r="G549" s="8" t="str">
        <f aca="false">IF(D549="","",IFERROR(INDEX(Товары!$C$2:$C$200,MATCH(D549,Товары!$A$2:$A$200,0)),0))</f>
        <v/>
      </c>
      <c r="H549" s="8" t="str">
        <f aca="false">IF(D549="","",F549*G549)</f>
        <v/>
      </c>
      <c r="I549" s="8" t="str">
        <f aca="false">IF(D549="","",F549*IFERROR(INDEX(Товары!$D$2:$D$200,MATCH(D549,Товары!$A$2:$A$200,0)),0))</f>
        <v/>
      </c>
      <c r="J549" s="8" t="str">
        <f aca="false">IF(D549="","",H549-I549)</f>
        <v/>
      </c>
      <c r="K549" s="7" t="str">
        <f aca="false">IF(A549="","",MONTH(A549))</f>
        <v/>
      </c>
      <c r="L549" s="7" t="str">
        <f aca="false">IF(A549="","",YEAR(A549))</f>
        <v/>
      </c>
      <c r="M549" s="9" t="str">
        <f aca="false">IF(B549="","",B549&amp;"|"&amp;COUNTIF(B$2:B549,B549))</f>
        <v/>
      </c>
    </row>
    <row r="550" customFormat="false" ht="15" hidden="false" customHeight="false" outlineLevel="0" collapsed="false">
      <c r="A550" s="5"/>
      <c r="B550" s="6"/>
      <c r="C550" s="6"/>
      <c r="D550" s="6"/>
      <c r="E550" s="7" t="str">
        <f aca="false">IF(D550="","",IFERROR(INDEX(Товары!$B$2:$B$200,MATCH(D550,Товары!$A$2:$A$200,0)),"нет в справочнике"))</f>
        <v/>
      </c>
      <c r="F550" s="6"/>
      <c r="G550" s="8" t="str">
        <f aca="false">IF(D550="","",IFERROR(INDEX(Товары!$C$2:$C$200,MATCH(D550,Товары!$A$2:$A$200,0)),0))</f>
        <v/>
      </c>
      <c r="H550" s="8" t="str">
        <f aca="false">IF(D550="","",F550*G550)</f>
        <v/>
      </c>
      <c r="I550" s="8" t="str">
        <f aca="false">IF(D550="","",F550*IFERROR(INDEX(Товары!$D$2:$D$200,MATCH(D550,Товары!$A$2:$A$200,0)),0))</f>
        <v/>
      </c>
      <c r="J550" s="8" t="str">
        <f aca="false">IF(D550="","",H550-I550)</f>
        <v/>
      </c>
      <c r="K550" s="7" t="str">
        <f aca="false">IF(A550="","",MONTH(A550))</f>
        <v/>
      </c>
      <c r="L550" s="7" t="str">
        <f aca="false">IF(A550="","",YEAR(A550))</f>
        <v/>
      </c>
      <c r="M550" s="9" t="str">
        <f aca="false">IF(B550="","",B550&amp;"|"&amp;COUNTIF(B$2:B550,B550))</f>
        <v/>
      </c>
    </row>
    <row r="551" customFormat="false" ht="15" hidden="false" customHeight="false" outlineLevel="0" collapsed="false">
      <c r="A551" s="5"/>
      <c r="B551" s="6"/>
      <c r="C551" s="6"/>
      <c r="D551" s="6"/>
      <c r="E551" s="7" t="str">
        <f aca="false">IF(D551="","",IFERROR(INDEX(Товары!$B$2:$B$200,MATCH(D551,Товары!$A$2:$A$200,0)),"нет в справочнике"))</f>
        <v/>
      </c>
      <c r="F551" s="6"/>
      <c r="G551" s="8" t="str">
        <f aca="false">IF(D551="","",IFERROR(INDEX(Товары!$C$2:$C$200,MATCH(D551,Товары!$A$2:$A$200,0)),0))</f>
        <v/>
      </c>
      <c r="H551" s="8" t="str">
        <f aca="false">IF(D551="","",F551*G551)</f>
        <v/>
      </c>
      <c r="I551" s="8" t="str">
        <f aca="false">IF(D551="","",F551*IFERROR(INDEX(Товары!$D$2:$D$200,MATCH(D551,Товары!$A$2:$A$200,0)),0))</f>
        <v/>
      </c>
      <c r="J551" s="8" t="str">
        <f aca="false">IF(D551="","",H551-I551)</f>
        <v/>
      </c>
      <c r="K551" s="7" t="str">
        <f aca="false">IF(A551="","",MONTH(A551))</f>
        <v/>
      </c>
      <c r="L551" s="7" t="str">
        <f aca="false">IF(A551="","",YEAR(A551))</f>
        <v/>
      </c>
      <c r="M551" s="9" t="str">
        <f aca="false">IF(B551="","",B551&amp;"|"&amp;COUNTIF(B$2:B551,B551))</f>
        <v/>
      </c>
    </row>
    <row r="552" customFormat="false" ht="15" hidden="false" customHeight="false" outlineLevel="0" collapsed="false">
      <c r="A552" s="5"/>
      <c r="B552" s="6"/>
      <c r="C552" s="6"/>
      <c r="D552" s="6"/>
      <c r="E552" s="7" t="str">
        <f aca="false">IF(D552="","",IFERROR(INDEX(Товары!$B$2:$B$200,MATCH(D552,Товары!$A$2:$A$200,0)),"нет в справочнике"))</f>
        <v/>
      </c>
      <c r="F552" s="6"/>
      <c r="G552" s="8" t="str">
        <f aca="false">IF(D552="","",IFERROR(INDEX(Товары!$C$2:$C$200,MATCH(D552,Товары!$A$2:$A$200,0)),0))</f>
        <v/>
      </c>
      <c r="H552" s="8" t="str">
        <f aca="false">IF(D552="","",F552*G552)</f>
        <v/>
      </c>
      <c r="I552" s="8" t="str">
        <f aca="false">IF(D552="","",F552*IFERROR(INDEX(Товары!$D$2:$D$200,MATCH(D552,Товары!$A$2:$A$200,0)),0))</f>
        <v/>
      </c>
      <c r="J552" s="8" t="str">
        <f aca="false">IF(D552="","",H552-I552)</f>
        <v/>
      </c>
      <c r="K552" s="7" t="str">
        <f aca="false">IF(A552="","",MONTH(A552))</f>
        <v/>
      </c>
      <c r="L552" s="7" t="str">
        <f aca="false">IF(A552="","",YEAR(A552))</f>
        <v/>
      </c>
      <c r="M552" s="9" t="str">
        <f aca="false">IF(B552="","",B552&amp;"|"&amp;COUNTIF(B$2:B552,B552))</f>
        <v/>
      </c>
    </row>
    <row r="553" customFormat="false" ht="15" hidden="false" customHeight="false" outlineLevel="0" collapsed="false">
      <c r="A553" s="5"/>
      <c r="B553" s="6"/>
      <c r="C553" s="6"/>
      <c r="D553" s="6"/>
      <c r="E553" s="7" t="str">
        <f aca="false">IF(D553="","",IFERROR(INDEX(Товары!$B$2:$B$200,MATCH(D553,Товары!$A$2:$A$200,0)),"нет в справочнике"))</f>
        <v/>
      </c>
      <c r="F553" s="6"/>
      <c r="G553" s="8" t="str">
        <f aca="false">IF(D553="","",IFERROR(INDEX(Товары!$C$2:$C$200,MATCH(D553,Товары!$A$2:$A$200,0)),0))</f>
        <v/>
      </c>
      <c r="H553" s="8" t="str">
        <f aca="false">IF(D553="","",F553*G553)</f>
        <v/>
      </c>
      <c r="I553" s="8" t="str">
        <f aca="false">IF(D553="","",F553*IFERROR(INDEX(Товары!$D$2:$D$200,MATCH(D553,Товары!$A$2:$A$200,0)),0))</f>
        <v/>
      </c>
      <c r="J553" s="8" t="str">
        <f aca="false">IF(D553="","",H553-I553)</f>
        <v/>
      </c>
      <c r="K553" s="7" t="str">
        <f aca="false">IF(A553="","",MONTH(A553))</f>
        <v/>
      </c>
      <c r="L553" s="7" t="str">
        <f aca="false">IF(A553="","",YEAR(A553))</f>
        <v/>
      </c>
      <c r="M553" s="9" t="str">
        <f aca="false">IF(B553="","",B553&amp;"|"&amp;COUNTIF(B$2:B553,B553))</f>
        <v/>
      </c>
    </row>
    <row r="554" customFormat="false" ht="15" hidden="false" customHeight="false" outlineLevel="0" collapsed="false">
      <c r="A554" s="5"/>
      <c r="B554" s="6"/>
      <c r="C554" s="6"/>
      <c r="D554" s="6"/>
      <c r="E554" s="7" t="str">
        <f aca="false">IF(D554="","",IFERROR(INDEX(Товары!$B$2:$B$200,MATCH(D554,Товары!$A$2:$A$200,0)),"нет в справочнике"))</f>
        <v/>
      </c>
      <c r="F554" s="6"/>
      <c r="G554" s="8" t="str">
        <f aca="false">IF(D554="","",IFERROR(INDEX(Товары!$C$2:$C$200,MATCH(D554,Товары!$A$2:$A$200,0)),0))</f>
        <v/>
      </c>
      <c r="H554" s="8" t="str">
        <f aca="false">IF(D554="","",F554*G554)</f>
        <v/>
      </c>
      <c r="I554" s="8" t="str">
        <f aca="false">IF(D554="","",F554*IFERROR(INDEX(Товары!$D$2:$D$200,MATCH(D554,Товары!$A$2:$A$200,0)),0))</f>
        <v/>
      </c>
      <c r="J554" s="8" t="str">
        <f aca="false">IF(D554="","",H554-I554)</f>
        <v/>
      </c>
      <c r="K554" s="7" t="str">
        <f aca="false">IF(A554="","",MONTH(A554))</f>
        <v/>
      </c>
      <c r="L554" s="7" t="str">
        <f aca="false">IF(A554="","",YEAR(A554))</f>
        <v/>
      </c>
      <c r="M554" s="9" t="str">
        <f aca="false">IF(B554="","",B554&amp;"|"&amp;COUNTIF(B$2:B554,B554))</f>
        <v/>
      </c>
    </row>
    <row r="555" customFormat="false" ht="15" hidden="false" customHeight="false" outlineLevel="0" collapsed="false">
      <c r="A555" s="5"/>
      <c r="B555" s="6"/>
      <c r="C555" s="6"/>
      <c r="D555" s="6"/>
      <c r="E555" s="7" t="str">
        <f aca="false">IF(D555="","",IFERROR(INDEX(Товары!$B$2:$B$200,MATCH(D555,Товары!$A$2:$A$200,0)),"нет в справочнике"))</f>
        <v/>
      </c>
      <c r="F555" s="6"/>
      <c r="G555" s="8" t="str">
        <f aca="false">IF(D555="","",IFERROR(INDEX(Товары!$C$2:$C$200,MATCH(D555,Товары!$A$2:$A$200,0)),0))</f>
        <v/>
      </c>
      <c r="H555" s="8" t="str">
        <f aca="false">IF(D555="","",F555*G555)</f>
        <v/>
      </c>
      <c r="I555" s="8" t="str">
        <f aca="false">IF(D555="","",F555*IFERROR(INDEX(Товары!$D$2:$D$200,MATCH(D555,Товары!$A$2:$A$200,0)),0))</f>
        <v/>
      </c>
      <c r="J555" s="8" t="str">
        <f aca="false">IF(D555="","",H555-I555)</f>
        <v/>
      </c>
      <c r="K555" s="7" t="str">
        <f aca="false">IF(A555="","",MONTH(A555))</f>
        <v/>
      </c>
      <c r="L555" s="7" t="str">
        <f aca="false">IF(A555="","",YEAR(A555))</f>
        <v/>
      </c>
      <c r="M555" s="9" t="str">
        <f aca="false">IF(B555="","",B555&amp;"|"&amp;COUNTIF(B$2:B555,B555))</f>
        <v/>
      </c>
    </row>
    <row r="556" customFormat="false" ht="15" hidden="false" customHeight="false" outlineLevel="0" collapsed="false">
      <c r="A556" s="5"/>
      <c r="B556" s="6"/>
      <c r="C556" s="6"/>
      <c r="D556" s="6"/>
      <c r="E556" s="7" t="str">
        <f aca="false">IF(D556="","",IFERROR(INDEX(Товары!$B$2:$B$200,MATCH(D556,Товары!$A$2:$A$200,0)),"нет в справочнике"))</f>
        <v/>
      </c>
      <c r="F556" s="6"/>
      <c r="G556" s="8" t="str">
        <f aca="false">IF(D556="","",IFERROR(INDEX(Товары!$C$2:$C$200,MATCH(D556,Товары!$A$2:$A$200,0)),0))</f>
        <v/>
      </c>
      <c r="H556" s="8" t="str">
        <f aca="false">IF(D556="","",F556*G556)</f>
        <v/>
      </c>
      <c r="I556" s="8" t="str">
        <f aca="false">IF(D556="","",F556*IFERROR(INDEX(Товары!$D$2:$D$200,MATCH(D556,Товары!$A$2:$A$200,0)),0))</f>
        <v/>
      </c>
      <c r="J556" s="8" t="str">
        <f aca="false">IF(D556="","",H556-I556)</f>
        <v/>
      </c>
      <c r="K556" s="7" t="str">
        <f aca="false">IF(A556="","",MONTH(A556))</f>
        <v/>
      </c>
      <c r="L556" s="7" t="str">
        <f aca="false">IF(A556="","",YEAR(A556))</f>
        <v/>
      </c>
      <c r="M556" s="9" t="str">
        <f aca="false">IF(B556="","",B556&amp;"|"&amp;COUNTIF(B$2:B556,B556))</f>
        <v/>
      </c>
    </row>
    <row r="557" customFormat="false" ht="15" hidden="false" customHeight="false" outlineLevel="0" collapsed="false">
      <c r="A557" s="5"/>
      <c r="B557" s="6"/>
      <c r="C557" s="6"/>
      <c r="D557" s="6"/>
      <c r="E557" s="7" t="str">
        <f aca="false">IF(D557="","",IFERROR(INDEX(Товары!$B$2:$B$200,MATCH(D557,Товары!$A$2:$A$200,0)),"нет в справочнике"))</f>
        <v/>
      </c>
      <c r="F557" s="6"/>
      <c r="G557" s="8" t="str">
        <f aca="false">IF(D557="","",IFERROR(INDEX(Товары!$C$2:$C$200,MATCH(D557,Товары!$A$2:$A$200,0)),0))</f>
        <v/>
      </c>
      <c r="H557" s="8" t="str">
        <f aca="false">IF(D557="","",F557*G557)</f>
        <v/>
      </c>
      <c r="I557" s="8" t="str">
        <f aca="false">IF(D557="","",F557*IFERROR(INDEX(Товары!$D$2:$D$200,MATCH(D557,Товары!$A$2:$A$200,0)),0))</f>
        <v/>
      </c>
      <c r="J557" s="8" t="str">
        <f aca="false">IF(D557="","",H557-I557)</f>
        <v/>
      </c>
      <c r="K557" s="7" t="str">
        <f aca="false">IF(A557="","",MONTH(A557))</f>
        <v/>
      </c>
      <c r="L557" s="7" t="str">
        <f aca="false">IF(A557="","",YEAR(A557))</f>
        <v/>
      </c>
      <c r="M557" s="9" t="str">
        <f aca="false">IF(B557="","",B557&amp;"|"&amp;COUNTIF(B$2:B557,B557))</f>
        <v/>
      </c>
    </row>
    <row r="558" customFormat="false" ht="15" hidden="false" customHeight="false" outlineLevel="0" collapsed="false">
      <c r="A558" s="5"/>
      <c r="B558" s="6"/>
      <c r="C558" s="6"/>
      <c r="D558" s="6"/>
      <c r="E558" s="7" t="str">
        <f aca="false">IF(D558="","",IFERROR(INDEX(Товары!$B$2:$B$200,MATCH(D558,Товары!$A$2:$A$200,0)),"нет в справочнике"))</f>
        <v/>
      </c>
      <c r="F558" s="6"/>
      <c r="G558" s="8" t="str">
        <f aca="false">IF(D558="","",IFERROR(INDEX(Товары!$C$2:$C$200,MATCH(D558,Товары!$A$2:$A$200,0)),0))</f>
        <v/>
      </c>
      <c r="H558" s="8" t="str">
        <f aca="false">IF(D558="","",F558*G558)</f>
        <v/>
      </c>
      <c r="I558" s="8" t="str">
        <f aca="false">IF(D558="","",F558*IFERROR(INDEX(Товары!$D$2:$D$200,MATCH(D558,Товары!$A$2:$A$200,0)),0))</f>
        <v/>
      </c>
      <c r="J558" s="8" t="str">
        <f aca="false">IF(D558="","",H558-I558)</f>
        <v/>
      </c>
      <c r="K558" s="7" t="str">
        <f aca="false">IF(A558="","",MONTH(A558))</f>
        <v/>
      </c>
      <c r="L558" s="7" t="str">
        <f aca="false">IF(A558="","",YEAR(A558))</f>
        <v/>
      </c>
      <c r="M558" s="9" t="str">
        <f aca="false">IF(B558="","",B558&amp;"|"&amp;COUNTIF(B$2:B558,B558))</f>
        <v/>
      </c>
    </row>
    <row r="559" customFormat="false" ht="15" hidden="false" customHeight="false" outlineLevel="0" collapsed="false">
      <c r="A559" s="5"/>
      <c r="B559" s="6"/>
      <c r="C559" s="6"/>
      <c r="D559" s="6"/>
      <c r="E559" s="7" t="str">
        <f aca="false">IF(D559="","",IFERROR(INDEX(Товары!$B$2:$B$200,MATCH(D559,Товары!$A$2:$A$200,0)),"нет в справочнике"))</f>
        <v/>
      </c>
      <c r="F559" s="6"/>
      <c r="G559" s="8" t="str">
        <f aca="false">IF(D559="","",IFERROR(INDEX(Товары!$C$2:$C$200,MATCH(D559,Товары!$A$2:$A$200,0)),0))</f>
        <v/>
      </c>
      <c r="H559" s="8" t="str">
        <f aca="false">IF(D559="","",F559*G559)</f>
        <v/>
      </c>
      <c r="I559" s="8" t="str">
        <f aca="false">IF(D559="","",F559*IFERROR(INDEX(Товары!$D$2:$D$200,MATCH(D559,Товары!$A$2:$A$200,0)),0))</f>
        <v/>
      </c>
      <c r="J559" s="8" t="str">
        <f aca="false">IF(D559="","",H559-I559)</f>
        <v/>
      </c>
      <c r="K559" s="7" t="str">
        <f aca="false">IF(A559="","",MONTH(A559))</f>
        <v/>
      </c>
      <c r="L559" s="7" t="str">
        <f aca="false">IF(A559="","",YEAR(A559))</f>
        <v/>
      </c>
      <c r="M559" s="9" t="str">
        <f aca="false">IF(B559="","",B559&amp;"|"&amp;COUNTIF(B$2:B559,B559))</f>
        <v/>
      </c>
    </row>
    <row r="560" customFormat="false" ht="15" hidden="false" customHeight="false" outlineLevel="0" collapsed="false">
      <c r="A560" s="5"/>
      <c r="B560" s="6"/>
      <c r="C560" s="6"/>
      <c r="D560" s="6"/>
      <c r="E560" s="7" t="str">
        <f aca="false">IF(D560="","",IFERROR(INDEX(Товары!$B$2:$B$200,MATCH(D560,Товары!$A$2:$A$200,0)),"нет в справочнике"))</f>
        <v/>
      </c>
      <c r="F560" s="6"/>
      <c r="G560" s="8" t="str">
        <f aca="false">IF(D560="","",IFERROR(INDEX(Товары!$C$2:$C$200,MATCH(D560,Товары!$A$2:$A$200,0)),0))</f>
        <v/>
      </c>
      <c r="H560" s="8" t="str">
        <f aca="false">IF(D560="","",F560*G560)</f>
        <v/>
      </c>
      <c r="I560" s="8" t="str">
        <f aca="false">IF(D560="","",F560*IFERROR(INDEX(Товары!$D$2:$D$200,MATCH(D560,Товары!$A$2:$A$200,0)),0))</f>
        <v/>
      </c>
      <c r="J560" s="8" t="str">
        <f aca="false">IF(D560="","",H560-I560)</f>
        <v/>
      </c>
      <c r="K560" s="7" t="str">
        <f aca="false">IF(A560="","",MONTH(A560))</f>
        <v/>
      </c>
      <c r="L560" s="7" t="str">
        <f aca="false">IF(A560="","",YEAR(A560))</f>
        <v/>
      </c>
      <c r="M560" s="9" t="str">
        <f aca="false">IF(B560="","",B560&amp;"|"&amp;COUNTIF(B$2:B560,B560))</f>
        <v/>
      </c>
    </row>
    <row r="561" customFormat="false" ht="15" hidden="false" customHeight="false" outlineLevel="0" collapsed="false">
      <c r="A561" s="5"/>
      <c r="B561" s="6"/>
      <c r="C561" s="6"/>
      <c r="D561" s="6"/>
      <c r="E561" s="7" t="str">
        <f aca="false">IF(D561="","",IFERROR(INDEX(Товары!$B$2:$B$200,MATCH(D561,Товары!$A$2:$A$200,0)),"нет в справочнике"))</f>
        <v/>
      </c>
      <c r="F561" s="6"/>
      <c r="G561" s="8" t="str">
        <f aca="false">IF(D561="","",IFERROR(INDEX(Товары!$C$2:$C$200,MATCH(D561,Товары!$A$2:$A$200,0)),0))</f>
        <v/>
      </c>
      <c r="H561" s="8" t="str">
        <f aca="false">IF(D561="","",F561*G561)</f>
        <v/>
      </c>
      <c r="I561" s="8" t="str">
        <f aca="false">IF(D561="","",F561*IFERROR(INDEX(Товары!$D$2:$D$200,MATCH(D561,Товары!$A$2:$A$200,0)),0))</f>
        <v/>
      </c>
      <c r="J561" s="8" t="str">
        <f aca="false">IF(D561="","",H561-I561)</f>
        <v/>
      </c>
      <c r="K561" s="7" t="str">
        <f aca="false">IF(A561="","",MONTH(A561))</f>
        <v/>
      </c>
      <c r="L561" s="7" t="str">
        <f aca="false">IF(A561="","",YEAR(A561))</f>
        <v/>
      </c>
      <c r="M561" s="9" t="str">
        <f aca="false">IF(B561="","",B561&amp;"|"&amp;COUNTIF(B$2:B561,B561))</f>
        <v/>
      </c>
    </row>
    <row r="562" customFormat="false" ht="15" hidden="false" customHeight="false" outlineLevel="0" collapsed="false">
      <c r="A562" s="5"/>
      <c r="B562" s="6"/>
      <c r="C562" s="6"/>
      <c r="D562" s="6"/>
      <c r="E562" s="7" t="str">
        <f aca="false">IF(D562="","",IFERROR(INDEX(Товары!$B$2:$B$200,MATCH(D562,Товары!$A$2:$A$200,0)),"нет в справочнике"))</f>
        <v/>
      </c>
      <c r="F562" s="6"/>
      <c r="G562" s="8" t="str">
        <f aca="false">IF(D562="","",IFERROR(INDEX(Товары!$C$2:$C$200,MATCH(D562,Товары!$A$2:$A$200,0)),0))</f>
        <v/>
      </c>
      <c r="H562" s="8" t="str">
        <f aca="false">IF(D562="","",F562*G562)</f>
        <v/>
      </c>
      <c r="I562" s="8" t="str">
        <f aca="false">IF(D562="","",F562*IFERROR(INDEX(Товары!$D$2:$D$200,MATCH(D562,Товары!$A$2:$A$200,0)),0))</f>
        <v/>
      </c>
      <c r="J562" s="8" t="str">
        <f aca="false">IF(D562="","",H562-I562)</f>
        <v/>
      </c>
      <c r="K562" s="7" t="str">
        <f aca="false">IF(A562="","",MONTH(A562))</f>
        <v/>
      </c>
      <c r="L562" s="7" t="str">
        <f aca="false">IF(A562="","",YEAR(A562))</f>
        <v/>
      </c>
      <c r="M562" s="9" t="str">
        <f aca="false">IF(B562="","",B562&amp;"|"&amp;COUNTIF(B$2:B562,B562))</f>
        <v/>
      </c>
    </row>
    <row r="563" customFormat="false" ht="15" hidden="false" customHeight="false" outlineLevel="0" collapsed="false">
      <c r="A563" s="5"/>
      <c r="B563" s="6"/>
      <c r="C563" s="6"/>
      <c r="D563" s="6"/>
      <c r="E563" s="7" t="str">
        <f aca="false">IF(D563="","",IFERROR(INDEX(Товары!$B$2:$B$200,MATCH(D563,Товары!$A$2:$A$200,0)),"нет в справочнике"))</f>
        <v/>
      </c>
      <c r="F563" s="6"/>
      <c r="G563" s="8" t="str">
        <f aca="false">IF(D563="","",IFERROR(INDEX(Товары!$C$2:$C$200,MATCH(D563,Товары!$A$2:$A$200,0)),0))</f>
        <v/>
      </c>
      <c r="H563" s="8" t="str">
        <f aca="false">IF(D563="","",F563*G563)</f>
        <v/>
      </c>
      <c r="I563" s="8" t="str">
        <f aca="false">IF(D563="","",F563*IFERROR(INDEX(Товары!$D$2:$D$200,MATCH(D563,Товары!$A$2:$A$200,0)),0))</f>
        <v/>
      </c>
      <c r="J563" s="8" t="str">
        <f aca="false">IF(D563="","",H563-I563)</f>
        <v/>
      </c>
      <c r="K563" s="7" t="str">
        <f aca="false">IF(A563="","",MONTH(A563))</f>
        <v/>
      </c>
      <c r="L563" s="7" t="str">
        <f aca="false">IF(A563="","",YEAR(A563))</f>
        <v/>
      </c>
      <c r="M563" s="9" t="str">
        <f aca="false">IF(B563="","",B563&amp;"|"&amp;COUNTIF(B$2:B563,B563))</f>
        <v/>
      </c>
    </row>
    <row r="564" customFormat="false" ht="15" hidden="false" customHeight="false" outlineLevel="0" collapsed="false">
      <c r="A564" s="5"/>
      <c r="B564" s="6"/>
      <c r="C564" s="6"/>
      <c r="D564" s="6"/>
      <c r="E564" s="7" t="str">
        <f aca="false">IF(D564="","",IFERROR(INDEX(Товары!$B$2:$B$200,MATCH(D564,Товары!$A$2:$A$200,0)),"нет в справочнике"))</f>
        <v/>
      </c>
      <c r="F564" s="6"/>
      <c r="G564" s="8" t="str">
        <f aca="false">IF(D564="","",IFERROR(INDEX(Товары!$C$2:$C$200,MATCH(D564,Товары!$A$2:$A$200,0)),0))</f>
        <v/>
      </c>
      <c r="H564" s="8" t="str">
        <f aca="false">IF(D564="","",F564*G564)</f>
        <v/>
      </c>
      <c r="I564" s="8" t="str">
        <f aca="false">IF(D564="","",F564*IFERROR(INDEX(Товары!$D$2:$D$200,MATCH(D564,Товары!$A$2:$A$200,0)),0))</f>
        <v/>
      </c>
      <c r="J564" s="8" t="str">
        <f aca="false">IF(D564="","",H564-I564)</f>
        <v/>
      </c>
      <c r="K564" s="7" t="str">
        <f aca="false">IF(A564="","",MONTH(A564))</f>
        <v/>
      </c>
      <c r="L564" s="7" t="str">
        <f aca="false">IF(A564="","",YEAR(A564))</f>
        <v/>
      </c>
      <c r="M564" s="9" t="str">
        <f aca="false">IF(B564="","",B564&amp;"|"&amp;COUNTIF(B$2:B564,B564))</f>
        <v/>
      </c>
    </row>
    <row r="565" customFormat="false" ht="15" hidden="false" customHeight="false" outlineLevel="0" collapsed="false">
      <c r="A565" s="5"/>
      <c r="B565" s="6"/>
      <c r="C565" s="6"/>
      <c r="D565" s="6"/>
      <c r="E565" s="7" t="str">
        <f aca="false">IF(D565="","",IFERROR(INDEX(Товары!$B$2:$B$200,MATCH(D565,Товары!$A$2:$A$200,0)),"нет в справочнике"))</f>
        <v/>
      </c>
      <c r="F565" s="6"/>
      <c r="G565" s="8" t="str">
        <f aca="false">IF(D565="","",IFERROR(INDEX(Товары!$C$2:$C$200,MATCH(D565,Товары!$A$2:$A$200,0)),0))</f>
        <v/>
      </c>
      <c r="H565" s="8" t="str">
        <f aca="false">IF(D565="","",F565*G565)</f>
        <v/>
      </c>
      <c r="I565" s="8" t="str">
        <f aca="false">IF(D565="","",F565*IFERROR(INDEX(Товары!$D$2:$D$200,MATCH(D565,Товары!$A$2:$A$200,0)),0))</f>
        <v/>
      </c>
      <c r="J565" s="8" t="str">
        <f aca="false">IF(D565="","",H565-I565)</f>
        <v/>
      </c>
      <c r="K565" s="7" t="str">
        <f aca="false">IF(A565="","",MONTH(A565))</f>
        <v/>
      </c>
      <c r="L565" s="7" t="str">
        <f aca="false">IF(A565="","",YEAR(A565))</f>
        <v/>
      </c>
      <c r="M565" s="9" t="str">
        <f aca="false">IF(B565="","",B565&amp;"|"&amp;COUNTIF(B$2:B565,B565))</f>
        <v/>
      </c>
    </row>
    <row r="566" customFormat="false" ht="15" hidden="false" customHeight="false" outlineLevel="0" collapsed="false">
      <c r="A566" s="5"/>
      <c r="B566" s="6"/>
      <c r="C566" s="6"/>
      <c r="D566" s="6"/>
      <c r="E566" s="7" t="str">
        <f aca="false">IF(D566="","",IFERROR(INDEX(Товары!$B$2:$B$200,MATCH(D566,Товары!$A$2:$A$200,0)),"нет в справочнике"))</f>
        <v/>
      </c>
      <c r="F566" s="6"/>
      <c r="G566" s="8" t="str">
        <f aca="false">IF(D566="","",IFERROR(INDEX(Товары!$C$2:$C$200,MATCH(D566,Товары!$A$2:$A$200,0)),0))</f>
        <v/>
      </c>
      <c r="H566" s="8" t="str">
        <f aca="false">IF(D566="","",F566*G566)</f>
        <v/>
      </c>
      <c r="I566" s="8" t="str">
        <f aca="false">IF(D566="","",F566*IFERROR(INDEX(Товары!$D$2:$D$200,MATCH(D566,Товары!$A$2:$A$200,0)),0))</f>
        <v/>
      </c>
      <c r="J566" s="8" t="str">
        <f aca="false">IF(D566="","",H566-I566)</f>
        <v/>
      </c>
      <c r="K566" s="7" t="str">
        <f aca="false">IF(A566="","",MONTH(A566))</f>
        <v/>
      </c>
      <c r="L566" s="7" t="str">
        <f aca="false">IF(A566="","",YEAR(A566))</f>
        <v/>
      </c>
      <c r="M566" s="9" t="str">
        <f aca="false">IF(B566="","",B566&amp;"|"&amp;COUNTIF(B$2:B566,B566))</f>
        <v/>
      </c>
    </row>
    <row r="567" customFormat="false" ht="15" hidden="false" customHeight="false" outlineLevel="0" collapsed="false">
      <c r="A567" s="5"/>
      <c r="B567" s="6"/>
      <c r="C567" s="6"/>
      <c r="D567" s="6"/>
      <c r="E567" s="7" t="str">
        <f aca="false">IF(D567="","",IFERROR(INDEX(Товары!$B$2:$B$200,MATCH(D567,Товары!$A$2:$A$200,0)),"нет в справочнике"))</f>
        <v/>
      </c>
      <c r="F567" s="6"/>
      <c r="G567" s="8" t="str">
        <f aca="false">IF(D567="","",IFERROR(INDEX(Товары!$C$2:$C$200,MATCH(D567,Товары!$A$2:$A$200,0)),0))</f>
        <v/>
      </c>
      <c r="H567" s="8" t="str">
        <f aca="false">IF(D567="","",F567*G567)</f>
        <v/>
      </c>
      <c r="I567" s="8" t="str">
        <f aca="false">IF(D567="","",F567*IFERROR(INDEX(Товары!$D$2:$D$200,MATCH(D567,Товары!$A$2:$A$200,0)),0))</f>
        <v/>
      </c>
      <c r="J567" s="8" t="str">
        <f aca="false">IF(D567="","",H567-I567)</f>
        <v/>
      </c>
      <c r="K567" s="7" t="str">
        <f aca="false">IF(A567="","",MONTH(A567))</f>
        <v/>
      </c>
      <c r="L567" s="7" t="str">
        <f aca="false">IF(A567="","",YEAR(A567))</f>
        <v/>
      </c>
      <c r="M567" s="9" t="str">
        <f aca="false">IF(B567="","",B567&amp;"|"&amp;COUNTIF(B$2:B567,B567))</f>
        <v/>
      </c>
    </row>
    <row r="568" customFormat="false" ht="15" hidden="false" customHeight="false" outlineLevel="0" collapsed="false">
      <c r="A568" s="5"/>
      <c r="B568" s="6"/>
      <c r="C568" s="6"/>
      <c r="D568" s="6"/>
      <c r="E568" s="7" t="str">
        <f aca="false">IF(D568="","",IFERROR(INDEX(Товары!$B$2:$B$200,MATCH(D568,Товары!$A$2:$A$200,0)),"нет в справочнике"))</f>
        <v/>
      </c>
      <c r="F568" s="6"/>
      <c r="G568" s="8" t="str">
        <f aca="false">IF(D568="","",IFERROR(INDEX(Товары!$C$2:$C$200,MATCH(D568,Товары!$A$2:$A$200,0)),0))</f>
        <v/>
      </c>
      <c r="H568" s="8" t="str">
        <f aca="false">IF(D568="","",F568*G568)</f>
        <v/>
      </c>
      <c r="I568" s="8" t="str">
        <f aca="false">IF(D568="","",F568*IFERROR(INDEX(Товары!$D$2:$D$200,MATCH(D568,Товары!$A$2:$A$200,0)),0))</f>
        <v/>
      </c>
      <c r="J568" s="8" t="str">
        <f aca="false">IF(D568="","",H568-I568)</f>
        <v/>
      </c>
      <c r="K568" s="7" t="str">
        <f aca="false">IF(A568="","",MONTH(A568))</f>
        <v/>
      </c>
      <c r="L568" s="7" t="str">
        <f aca="false">IF(A568="","",YEAR(A568))</f>
        <v/>
      </c>
      <c r="M568" s="9" t="str">
        <f aca="false">IF(B568="","",B568&amp;"|"&amp;COUNTIF(B$2:B568,B568))</f>
        <v/>
      </c>
    </row>
    <row r="569" customFormat="false" ht="15" hidden="false" customHeight="false" outlineLevel="0" collapsed="false">
      <c r="A569" s="5"/>
      <c r="B569" s="6"/>
      <c r="C569" s="6"/>
      <c r="D569" s="6"/>
      <c r="E569" s="7" t="str">
        <f aca="false">IF(D569="","",IFERROR(INDEX(Товары!$B$2:$B$200,MATCH(D569,Товары!$A$2:$A$200,0)),"нет в справочнике"))</f>
        <v/>
      </c>
      <c r="F569" s="6"/>
      <c r="G569" s="8" t="str">
        <f aca="false">IF(D569="","",IFERROR(INDEX(Товары!$C$2:$C$200,MATCH(D569,Товары!$A$2:$A$200,0)),0))</f>
        <v/>
      </c>
      <c r="H569" s="8" t="str">
        <f aca="false">IF(D569="","",F569*G569)</f>
        <v/>
      </c>
      <c r="I569" s="8" t="str">
        <f aca="false">IF(D569="","",F569*IFERROR(INDEX(Товары!$D$2:$D$200,MATCH(D569,Товары!$A$2:$A$200,0)),0))</f>
        <v/>
      </c>
      <c r="J569" s="8" t="str">
        <f aca="false">IF(D569="","",H569-I569)</f>
        <v/>
      </c>
      <c r="K569" s="7" t="str">
        <f aca="false">IF(A569="","",MONTH(A569))</f>
        <v/>
      </c>
      <c r="L569" s="7" t="str">
        <f aca="false">IF(A569="","",YEAR(A569))</f>
        <v/>
      </c>
      <c r="M569" s="9" t="str">
        <f aca="false">IF(B569="","",B569&amp;"|"&amp;COUNTIF(B$2:B569,B569))</f>
        <v/>
      </c>
    </row>
    <row r="570" customFormat="false" ht="15" hidden="false" customHeight="false" outlineLevel="0" collapsed="false">
      <c r="A570" s="5"/>
      <c r="B570" s="6"/>
      <c r="C570" s="6"/>
      <c r="D570" s="6"/>
      <c r="E570" s="7" t="str">
        <f aca="false">IF(D570="","",IFERROR(INDEX(Товары!$B$2:$B$200,MATCH(D570,Товары!$A$2:$A$200,0)),"нет в справочнике"))</f>
        <v/>
      </c>
      <c r="F570" s="6"/>
      <c r="G570" s="8" t="str">
        <f aca="false">IF(D570="","",IFERROR(INDEX(Товары!$C$2:$C$200,MATCH(D570,Товары!$A$2:$A$200,0)),0))</f>
        <v/>
      </c>
      <c r="H570" s="8" t="str">
        <f aca="false">IF(D570="","",F570*G570)</f>
        <v/>
      </c>
      <c r="I570" s="8" t="str">
        <f aca="false">IF(D570="","",F570*IFERROR(INDEX(Товары!$D$2:$D$200,MATCH(D570,Товары!$A$2:$A$200,0)),0))</f>
        <v/>
      </c>
      <c r="J570" s="8" t="str">
        <f aca="false">IF(D570="","",H570-I570)</f>
        <v/>
      </c>
      <c r="K570" s="7" t="str">
        <f aca="false">IF(A570="","",MONTH(A570))</f>
        <v/>
      </c>
      <c r="L570" s="7" t="str">
        <f aca="false">IF(A570="","",YEAR(A570))</f>
        <v/>
      </c>
      <c r="M570" s="9" t="str">
        <f aca="false">IF(B570="","",B570&amp;"|"&amp;COUNTIF(B$2:B570,B570))</f>
        <v/>
      </c>
    </row>
    <row r="571" customFormat="false" ht="15" hidden="false" customHeight="false" outlineLevel="0" collapsed="false">
      <c r="A571" s="5"/>
      <c r="B571" s="6"/>
      <c r="C571" s="6"/>
      <c r="D571" s="6"/>
      <c r="E571" s="7" t="str">
        <f aca="false">IF(D571="","",IFERROR(INDEX(Товары!$B$2:$B$200,MATCH(D571,Товары!$A$2:$A$200,0)),"нет в справочнике"))</f>
        <v/>
      </c>
      <c r="F571" s="6"/>
      <c r="G571" s="8" t="str">
        <f aca="false">IF(D571="","",IFERROR(INDEX(Товары!$C$2:$C$200,MATCH(D571,Товары!$A$2:$A$200,0)),0))</f>
        <v/>
      </c>
      <c r="H571" s="8" t="str">
        <f aca="false">IF(D571="","",F571*G571)</f>
        <v/>
      </c>
      <c r="I571" s="8" t="str">
        <f aca="false">IF(D571="","",F571*IFERROR(INDEX(Товары!$D$2:$D$200,MATCH(D571,Товары!$A$2:$A$200,0)),0))</f>
        <v/>
      </c>
      <c r="J571" s="8" t="str">
        <f aca="false">IF(D571="","",H571-I571)</f>
        <v/>
      </c>
      <c r="K571" s="7" t="str">
        <f aca="false">IF(A571="","",MONTH(A571))</f>
        <v/>
      </c>
      <c r="L571" s="7" t="str">
        <f aca="false">IF(A571="","",YEAR(A571))</f>
        <v/>
      </c>
      <c r="M571" s="9" t="str">
        <f aca="false">IF(B571="","",B571&amp;"|"&amp;COUNTIF(B$2:B571,B571))</f>
        <v/>
      </c>
    </row>
    <row r="572" customFormat="false" ht="15" hidden="false" customHeight="false" outlineLevel="0" collapsed="false">
      <c r="A572" s="5"/>
      <c r="B572" s="6"/>
      <c r="C572" s="6"/>
      <c r="D572" s="6"/>
      <c r="E572" s="7" t="str">
        <f aca="false">IF(D572="","",IFERROR(INDEX(Товары!$B$2:$B$200,MATCH(D572,Товары!$A$2:$A$200,0)),"нет в справочнике"))</f>
        <v/>
      </c>
      <c r="F572" s="6"/>
      <c r="G572" s="8" t="str">
        <f aca="false">IF(D572="","",IFERROR(INDEX(Товары!$C$2:$C$200,MATCH(D572,Товары!$A$2:$A$200,0)),0))</f>
        <v/>
      </c>
      <c r="H572" s="8" t="str">
        <f aca="false">IF(D572="","",F572*G572)</f>
        <v/>
      </c>
      <c r="I572" s="8" t="str">
        <f aca="false">IF(D572="","",F572*IFERROR(INDEX(Товары!$D$2:$D$200,MATCH(D572,Товары!$A$2:$A$200,0)),0))</f>
        <v/>
      </c>
      <c r="J572" s="8" t="str">
        <f aca="false">IF(D572="","",H572-I572)</f>
        <v/>
      </c>
      <c r="K572" s="7" t="str">
        <f aca="false">IF(A572="","",MONTH(A572))</f>
        <v/>
      </c>
      <c r="L572" s="7" t="str">
        <f aca="false">IF(A572="","",YEAR(A572))</f>
        <v/>
      </c>
      <c r="M572" s="9" t="str">
        <f aca="false">IF(B572="","",B572&amp;"|"&amp;COUNTIF(B$2:B572,B572))</f>
        <v/>
      </c>
    </row>
    <row r="573" customFormat="false" ht="15" hidden="false" customHeight="false" outlineLevel="0" collapsed="false">
      <c r="A573" s="5"/>
      <c r="B573" s="6"/>
      <c r="C573" s="6"/>
      <c r="D573" s="6"/>
      <c r="E573" s="7" t="str">
        <f aca="false">IF(D573="","",IFERROR(INDEX(Товары!$B$2:$B$200,MATCH(D573,Товары!$A$2:$A$200,0)),"нет в справочнике"))</f>
        <v/>
      </c>
      <c r="F573" s="6"/>
      <c r="G573" s="8" t="str">
        <f aca="false">IF(D573="","",IFERROR(INDEX(Товары!$C$2:$C$200,MATCH(D573,Товары!$A$2:$A$200,0)),0))</f>
        <v/>
      </c>
      <c r="H573" s="8" t="str">
        <f aca="false">IF(D573="","",F573*G573)</f>
        <v/>
      </c>
      <c r="I573" s="8" t="str">
        <f aca="false">IF(D573="","",F573*IFERROR(INDEX(Товары!$D$2:$D$200,MATCH(D573,Товары!$A$2:$A$200,0)),0))</f>
        <v/>
      </c>
      <c r="J573" s="8" t="str">
        <f aca="false">IF(D573="","",H573-I573)</f>
        <v/>
      </c>
      <c r="K573" s="7" t="str">
        <f aca="false">IF(A573="","",MONTH(A573))</f>
        <v/>
      </c>
      <c r="L573" s="7" t="str">
        <f aca="false">IF(A573="","",YEAR(A573))</f>
        <v/>
      </c>
      <c r="M573" s="9" t="str">
        <f aca="false">IF(B573="","",B573&amp;"|"&amp;COUNTIF(B$2:B573,B573))</f>
        <v/>
      </c>
    </row>
    <row r="574" customFormat="false" ht="15" hidden="false" customHeight="false" outlineLevel="0" collapsed="false">
      <c r="A574" s="5"/>
      <c r="B574" s="6"/>
      <c r="C574" s="6"/>
      <c r="D574" s="6"/>
      <c r="E574" s="7" t="str">
        <f aca="false">IF(D574="","",IFERROR(INDEX(Товары!$B$2:$B$200,MATCH(D574,Товары!$A$2:$A$200,0)),"нет в справочнике"))</f>
        <v/>
      </c>
      <c r="F574" s="6"/>
      <c r="G574" s="8" t="str">
        <f aca="false">IF(D574="","",IFERROR(INDEX(Товары!$C$2:$C$200,MATCH(D574,Товары!$A$2:$A$200,0)),0))</f>
        <v/>
      </c>
      <c r="H574" s="8" t="str">
        <f aca="false">IF(D574="","",F574*G574)</f>
        <v/>
      </c>
      <c r="I574" s="8" t="str">
        <f aca="false">IF(D574="","",F574*IFERROR(INDEX(Товары!$D$2:$D$200,MATCH(D574,Товары!$A$2:$A$200,0)),0))</f>
        <v/>
      </c>
      <c r="J574" s="8" t="str">
        <f aca="false">IF(D574="","",H574-I574)</f>
        <v/>
      </c>
      <c r="K574" s="7" t="str">
        <f aca="false">IF(A574="","",MONTH(A574))</f>
        <v/>
      </c>
      <c r="L574" s="7" t="str">
        <f aca="false">IF(A574="","",YEAR(A574))</f>
        <v/>
      </c>
      <c r="M574" s="9" t="str">
        <f aca="false">IF(B574="","",B574&amp;"|"&amp;COUNTIF(B$2:B574,B574))</f>
        <v/>
      </c>
    </row>
    <row r="575" customFormat="false" ht="15" hidden="false" customHeight="false" outlineLevel="0" collapsed="false">
      <c r="A575" s="5"/>
      <c r="B575" s="6"/>
      <c r="C575" s="6"/>
      <c r="D575" s="6"/>
      <c r="E575" s="7" t="str">
        <f aca="false">IF(D575="","",IFERROR(INDEX(Товары!$B$2:$B$200,MATCH(D575,Товары!$A$2:$A$200,0)),"нет в справочнике"))</f>
        <v/>
      </c>
      <c r="F575" s="6"/>
      <c r="G575" s="8" t="str">
        <f aca="false">IF(D575="","",IFERROR(INDEX(Товары!$C$2:$C$200,MATCH(D575,Товары!$A$2:$A$200,0)),0))</f>
        <v/>
      </c>
      <c r="H575" s="8" t="str">
        <f aca="false">IF(D575="","",F575*G575)</f>
        <v/>
      </c>
      <c r="I575" s="8" t="str">
        <f aca="false">IF(D575="","",F575*IFERROR(INDEX(Товары!$D$2:$D$200,MATCH(D575,Товары!$A$2:$A$200,0)),0))</f>
        <v/>
      </c>
      <c r="J575" s="8" t="str">
        <f aca="false">IF(D575="","",H575-I575)</f>
        <v/>
      </c>
      <c r="K575" s="7" t="str">
        <f aca="false">IF(A575="","",MONTH(A575))</f>
        <v/>
      </c>
      <c r="L575" s="7" t="str">
        <f aca="false">IF(A575="","",YEAR(A575))</f>
        <v/>
      </c>
      <c r="M575" s="9" t="str">
        <f aca="false">IF(B575="","",B575&amp;"|"&amp;COUNTIF(B$2:B575,B575))</f>
        <v/>
      </c>
    </row>
    <row r="576" customFormat="false" ht="15" hidden="false" customHeight="false" outlineLevel="0" collapsed="false">
      <c r="A576" s="5"/>
      <c r="B576" s="6"/>
      <c r="C576" s="6"/>
      <c r="D576" s="6"/>
      <c r="E576" s="7" t="str">
        <f aca="false">IF(D576="","",IFERROR(INDEX(Товары!$B$2:$B$200,MATCH(D576,Товары!$A$2:$A$200,0)),"нет в справочнике"))</f>
        <v/>
      </c>
      <c r="F576" s="6"/>
      <c r="G576" s="8" t="str">
        <f aca="false">IF(D576="","",IFERROR(INDEX(Товары!$C$2:$C$200,MATCH(D576,Товары!$A$2:$A$200,0)),0))</f>
        <v/>
      </c>
      <c r="H576" s="8" t="str">
        <f aca="false">IF(D576="","",F576*G576)</f>
        <v/>
      </c>
      <c r="I576" s="8" t="str">
        <f aca="false">IF(D576="","",F576*IFERROR(INDEX(Товары!$D$2:$D$200,MATCH(D576,Товары!$A$2:$A$200,0)),0))</f>
        <v/>
      </c>
      <c r="J576" s="8" t="str">
        <f aca="false">IF(D576="","",H576-I576)</f>
        <v/>
      </c>
      <c r="K576" s="7" t="str">
        <f aca="false">IF(A576="","",MONTH(A576))</f>
        <v/>
      </c>
      <c r="L576" s="7" t="str">
        <f aca="false">IF(A576="","",YEAR(A576))</f>
        <v/>
      </c>
      <c r="M576" s="9" t="str">
        <f aca="false">IF(B576="","",B576&amp;"|"&amp;COUNTIF(B$2:B576,B576))</f>
        <v/>
      </c>
    </row>
    <row r="577" customFormat="false" ht="15" hidden="false" customHeight="false" outlineLevel="0" collapsed="false">
      <c r="A577" s="5"/>
      <c r="B577" s="6"/>
      <c r="C577" s="6"/>
      <c r="D577" s="6"/>
      <c r="E577" s="7" t="str">
        <f aca="false">IF(D577="","",IFERROR(INDEX(Товары!$B$2:$B$200,MATCH(D577,Товары!$A$2:$A$200,0)),"нет в справочнике"))</f>
        <v/>
      </c>
      <c r="F577" s="6"/>
      <c r="G577" s="8" t="str">
        <f aca="false">IF(D577="","",IFERROR(INDEX(Товары!$C$2:$C$200,MATCH(D577,Товары!$A$2:$A$200,0)),0))</f>
        <v/>
      </c>
      <c r="H577" s="8" t="str">
        <f aca="false">IF(D577="","",F577*G577)</f>
        <v/>
      </c>
      <c r="I577" s="8" t="str">
        <f aca="false">IF(D577="","",F577*IFERROR(INDEX(Товары!$D$2:$D$200,MATCH(D577,Товары!$A$2:$A$200,0)),0))</f>
        <v/>
      </c>
      <c r="J577" s="8" t="str">
        <f aca="false">IF(D577="","",H577-I577)</f>
        <v/>
      </c>
      <c r="K577" s="7" t="str">
        <f aca="false">IF(A577="","",MONTH(A577))</f>
        <v/>
      </c>
      <c r="L577" s="7" t="str">
        <f aca="false">IF(A577="","",YEAR(A577))</f>
        <v/>
      </c>
      <c r="M577" s="9" t="str">
        <f aca="false">IF(B577="","",B577&amp;"|"&amp;COUNTIF(B$2:B577,B577))</f>
        <v/>
      </c>
    </row>
    <row r="578" customFormat="false" ht="15" hidden="false" customHeight="false" outlineLevel="0" collapsed="false">
      <c r="A578" s="5"/>
      <c r="B578" s="6"/>
      <c r="C578" s="6"/>
      <c r="D578" s="6"/>
      <c r="E578" s="7" t="str">
        <f aca="false">IF(D578="","",IFERROR(INDEX(Товары!$B$2:$B$200,MATCH(D578,Товары!$A$2:$A$200,0)),"нет в справочнике"))</f>
        <v/>
      </c>
      <c r="F578" s="6"/>
      <c r="G578" s="8" t="str">
        <f aca="false">IF(D578="","",IFERROR(INDEX(Товары!$C$2:$C$200,MATCH(D578,Товары!$A$2:$A$200,0)),0))</f>
        <v/>
      </c>
      <c r="H578" s="8" t="str">
        <f aca="false">IF(D578="","",F578*G578)</f>
        <v/>
      </c>
      <c r="I578" s="8" t="str">
        <f aca="false">IF(D578="","",F578*IFERROR(INDEX(Товары!$D$2:$D$200,MATCH(D578,Товары!$A$2:$A$200,0)),0))</f>
        <v/>
      </c>
      <c r="J578" s="8" t="str">
        <f aca="false">IF(D578="","",H578-I578)</f>
        <v/>
      </c>
      <c r="K578" s="7" t="str">
        <f aca="false">IF(A578="","",MONTH(A578))</f>
        <v/>
      </c>
      <c r="L578" s="7" t="str">
        <f aca="false">IF(A578="","",YEAR(A578))</f>
        <v/>
      </c>
      <c r="M578" s="9" t="str">
        <f aca="false">IF(B578="","",B578&amp;"|"&amp;COUNTIF(B$2:B578,B578))</f>
        <v/>
      </c>
    </row>
    <row r="579" customFormat="false" ht="15" hidden="false" customHeight="false" outlineLevel="0" collapsed="false">
      <c r="A579" s="5"/>
      <c r="B579" s="6"/>
      <c r="C579" s="6"/>
      <c r="D579" s="6"/>
      <c r="E579" s="7" t="str">
        <f aca="false">IF(D579="","",IFERROR(INDEX(Товары!$B$2:$B$200,MATCH(D579,Товары!$A$2:$A$200,0)),"нет в справочнике"))</f>
        <v/>
      </c>
      <c r="F579" s="6"/>
      <c r="G579" s="8" t="str">
        <f aca="false">IF(D579="","",IFERROR(INDEX(Товары!$C$2:$C$200,MATCH(D579,Товары!$A$2:$A$200,0)),0))</f>
        <v/>
      </c>
      <c r="H579" s="8" t="str">
        <f aca="false">IF(D579="","",F579*G579)</f>
        <v/>
      </c>
      <c r="I579" s="8" t="str">
        <f aca="false">IF(D579="","",F579*IFERROR(INDEX(Товары!$D$2:$D$200,MATCH(D579,Товары!$A$2:$A$200,0)),0))</f>
        <v/>
      </c>
      <c r="J579" s="8" t="str">
        <f aca="false">IF(D579="","",H579-I579)</f>
        <v/>
      </c>
      <c r="K579" s="7" t="str">
        <f aca="false">IF(A579="","",MONTH(A579))</f>
        <v/>
      </c>
      <c r="L579" s="7" t="str">
        <f aca="false">IF(A579="","",YEAR(A579))</f>
        <v/>
      </c>
      <c r="M579" s="9" t="str">
        <f aca="false">IF(B579="","",B579&amp;"|"&amp;COUNTIF(B$2:B579,B579))</f>
        <v/>
      </c>
    </row>
    <row r="580" customFormat="false" ht="15" hidden="false" customHeight="false" outlineLevel="0" collapsed="false">
      <c r="A580" s="5"/>
      <c r="B580" s="6"/>
      <c r="C580" s="6"/>
      <c r="D580" s="6"/>
      <c r="E580" s="7" t="str">
        <f aca="false">IF(D580="","",IFERROR(INDEX(Товары!$B$2:$B$200,MATCH(D580,Товары!$A$2:$A$200,0)),"нет в справочнике"))</f>
        <v/>
      </c>
      <c r="F580" s="6"/>
      <c r="G580" s="8" t="str">
        <f aca="false">IF(D580="","",IFERROR(INDEX(Товары!$C$2:$C$200,MATCH(D580,Товары!$A$2:$A$200,0)),0))</f>
        <v/>
      </c>
      <c r="H580" s="8" t="str">
        <f aca="false">IF(D580="","",F580*G580)</f>
        <v/>
      </c>
      <c r="I580" s="8" t="str">
        <f aca="false">IF(D580="","",F580*IFERROR(INDEX(Товары!$D$2:$D$200,MATCH(D580,Товары!$A$2:$A$200,0)),0))</f>
        <v/>
      </c>
      <c r="J580" s="8" t="str">
        <f aca="false">IF(D580="","",H580-I580)</f>
        <v/>
      </c>
      <c r="K580" s="7" t="str">
        <f aca="false">IF(A580="","",MONTH(A580))</f>
        <v/>
      </c>
      <c r="L580" s="7" t="str">
        <f aca="false">IF(A580="","",YEAR(A580))</f>
        <v/>
      </c>
      <c r="M580" s="9" t="str">
        <f aca="false">IF(B580="","",B580&amp;"|"&amp;COUNTIF(B$2:B580,B580))</f>
        <v/>
      </c>
    </row>
    <row r="581" customFormat="false" ht="15" hidden="false" customHeight="false" outlineLevel="0" collapsed="false">
      <c r="A581" s="5"/>
      <c r="B581" s="6"/>
      <c r="C581" s="6"/>
      <c r="D581" s="6"/>
      <c r="E581" s="7" t="str">
        <f aca="false">IF(D581="","",IFERROR(INDEX(Товары!$B$2:$B$200,MATCH(D581,Товары!$A$2:$A$200,0)),"нет в справочнике"))</f>
        <v/>
      </c>
      <c r="F581" s="6"/>
      <c r="G581" s="8" t="str">
        <f aca="false">IF(D581="","",IFERROR(INDEX(Товары!$C$2:$C$200,MATCH(D581,Товары!$A$2:$A$200,0)),0))</f>
        <v/>
      </c>
      <c r="H581" s="8" t="str">
        <f aca="false">IF(D581="","",F581*G581)</f>
        <v/>
      </c>
      <c r="I581" s="8" t="str">
        <f aca="false">IF(D581="","",F581*IFERROR(INDEX(Товары!$D$2:$D$200,MATCH(D581,Товары!$A$2:$A$200,0)),0))</f>
        <v/>
      </c>
      <c r="J581" s="8" t="str">
        <f aca="false">IF(D581="","",H581-I581)</f>
        <v/>
      </c>
      <c r="K581" s="7" t="str">
        <f aca="false">IF(A581="","",MONTH(A581))</f>
        <v/>
      </c>
      <c r="L581" s="7" t="str">
        <f aca="false">IF(A581="","",YEAR(A581))</f>
        <v/>
      </c>
      <c r="M581" s="9" t="str">
        <f aca="false">IF(B581="","",B581&amp;"|"&amp;COUNTIF(B$2:B581,B581))</f>
        <v/>
      </c>
    </row>
    <row r="582" customFormat="false" ht="15" hidden="false" customHeight="false" outlineLevel="0" collapsed="false">
      <c r="A582" s="5"/>
      <c r="B582" s="6"/>
      <c r="C582" s="6"/>
      <c r="D582" s="6"/>
      <c r="E582" s="7" t="str">
        <f aca="false">IF(D582="","",IFERROR(INDEX(Товары!$B$2:$B$200,MATCH(D582,Товары!$A$2:$A$200,0)),"нет в справочнике"))</f>
        <v/>
      </c>
      <c r="F582" s="6"/>
      <c r="G582" s="8" t="str">
        <f aca="false">IF(D582="","",IFERROR(INDEX(Товары!$C$2:$C$200,MATCH(D582,Товары!$A$2:$A$200,0)),0))</f>
        <v/>
      </c>
      <c r="H582" s="8" t="str">
        <f aca="false">IF(D582="","",F582*G582)</f>
        <v/>
      </c>
      <c r="I582" s="8" t="str">
        <f aca="false">IF(D582="","",F582*IFERROR(INDEX(Товары!$D$2:$D$200,MATCH(D582,Товары!$A$2:$A$200,0)),0))</f>
        <v/>
      </c>
      <c r="J582" s="8" t="str">
        <f aca="false">IF(D582="","",H582-I582)</f>
        <v/>
      </c>
      <c r="K582" s="7" t="str">
        <f aca="false">IF(A582="","",MONTH(A582))</f>
        <v/>
      </c>
      <c r="L582" s="7" t="str">
        <f aca="false">IF(A582="","",YEAR(A582))</f>
        <v/>
      </c>
      <c r="M582" s="9" t="str">
        <f aca="false">IF(B582="","",B582&amp;"|"&amp;COUNTIF(B$2:B582,B582))</f>
        <v/>
      </c>
    </row>
    <row r="583" customFormat="false" ht="15" hidden="false" customHeight="false" outlineLevel="0" collapsed="false">
      <c r="A583" s="5"/>
      <c r="B583" s="6"/>
      <c r="C583" s="6"/>
      <c r="D583" s="6"/>
      <c r="E583" s="7" t="str">
        <f aca="false">IF(D583="","",IFERROR(INDEX(Товары!$B$2:$B$200,MATCH(D583,Товары!$A$2:$A$200,0)),"нет в справочнике"))</f>
        <v/>
      </c>
      <c r="F583" s="6"/>
      <c r="G583" s="8" t="str">
        <f aca="false">IF(D583="","",IFERROR(INDEX(Товары!$C$2:$C$200,MATCH(D583,Товары!$A$2:$A$200,0)),0))</f>
        <v/>
      </c>
      <c r="H583" s="8" t="str">
        <f aca="false">IF(D583="","",F583*G583)</f>
        <v/>
      </c>
      <c r="I583" s="8" t="str">
        <f aca="false">IF(D583="","",F583*IFERROR(INDEX(Товары!$D$2:$D$200,MATCH(D583,Товары!$A$2:$A$200,0)),0))</f>
        <v/>
      </c>
      <c r="J583" s="8" t="str">
        <f aca="false">IF(D583="","",H583-I583)</f>
        <v/>
      </c>
      <c r="K583" s="7" t="str">
        <f aca="false">IF(A583="","",MONTH(A583))</f>
        <v/>
      </c>
      <c r="L583" s="7" t="str">
        <f aca="false">IF(A583="","",YEAR(A583))</f>
        <v/>
      </c>
      <c r="M583" s="9" t="str">
        <f aca="false">IF(B583="","",B583&amp;"|"&amp;COUNTIF(B$2:B583,B583))</f>
        <v/>
      </c>
    </row>
    <row r="584" customFormat="false" ht="15" hidden="false" customHeight="false" outlineLevel="0" collapsed="false">
      <c r="A584" s="5"/>
      <c r="B584" s="6"/>
      <c r="C584" s="6"/>
      <c r="D584" s="6"/>
      <c r="E584" s="7" t="str">
        <f aca="false">IF(D584="","",IFERROR(INDEX(Товары!$B$2:$B$200,MATCH(D584,Товары!$A$2:$A$200,0)),"нет в справочнике"))</f>
        <v/>
      </c>
      <c r="F584" s="6"/>
      <c r="G584" s="8" t="str">
        <f aca="false">IF(D584="","",IFERROR(INDEX(Товары!$C$2:$C$200,MATCH(D584,Товары!$A$2:$A$200,0)),0))</f>
        <v/>
      </c>
      <c r="H584" s="8" t="str">
        <f aca="false">IF(D584="","",F584*G584)</f>
        <v/>
      </c>
      <c r="I584" s="8" t="str">
        <f aca="false">IF(D584="","",F584*IFERROR(INDEX(Товары!$D$2:$D$200,MATCH(D584,Товары!$A$2:$A$200,0)),0))</f>
        <v/>
      </c>
      <c r="J584" s="8" t="str">
        <f aca="false">IF(D584="","",H584-I584)</f>
        <v/>
      </c>
      <c r="K584" s="7" t="str">
        <f aca="false">IF(A584="","",MONTH(A584))</f>
        <v/>
      </c>
      <c r="L584" s="7" t="str">
        <f aca="false">IF(A584="","",YEAR(A584))</f>
        <v/>
      </c>
      <c r="M584" s="9" t="str">
        <f aca="false">IF(B584="","",B584&amp;"|"&amp;COUNTIF(B$2:B584,B584))</f>
        <v/>
      </c>
    </row>
    <row r="585" customFormat="false" ht="15" hidden="false" customHeight="false" outlineLevel="0" collapsed="false">
      <c r="A585" s="5"/>
      <c r="B585" s="6"/>
      <c r="C585" s="6"/>
      <c r="D585" s="6"/>
      <c r="E585" s="7" t="str">
        <f aca="false">IF(D585="","",IFERROR(INDEX(Товары!$B$2:$B$200,MATCH(D585,Товары!$A$2:$A$200,0)),"нет в справочнике"))</f>
        <v/>
      </c>
      <c r="F585" s="6"/>
      <c r="G585" s="8" t="str">
        <f aca="false">IF(D585="","",IFERROR(INDEX(Товары!$C$2:$C$200,MATCH(D585,Товары!$A$2:$A$200,0)),0))</f>
        <v/>
      </c>
      <c r="H585" s="8" t="str">
        <f aca="false">IF(D585="","",F585*G585)</f>
        <v/>
      </c>
      <c r="I585" s="8" t="str">
        <f aca="false">IF(D585="","",F585*IFERROR(INDEX(Товары!$D$2:$D$200,MATCH(D585,Товары!$A$2:$A$200,0)),0))</f>
        <v/>
      </c>
      <c r="J585" s="8" t="str">
        <f aca="false">IF(D585="","",H585-I585)</f>
        <v/>
      </c>
      <c r="K585" s="7" t="str">
        <f aca="false">IF(A585="","",MONTH(A585))</f>
        <v/>
      </c>
      <c r="L585" s="7" t="str">
        <f aca="false">IF(A585="","",YEAR(A585))</f>
        <v/>
      </c>
      <c r="M585" s="9" t="str">
        <f aca="false">IF(B585="","",B585&amp;"|"&amp;COUNTIF(B$2:B585,B585))</f>
        <v/>
      </c>
    </row>
    <row r="586" customFormat="false" ht="15" hidden="false" customHeight="false" outlineLevel="0" collapsed="false">
      <c r="A586" s="5"/>
      <c r="B586" s="6"/>
      <c r="C586" s="6"/>
      <c r="D586" s="6"/>
      <c r="E586" s="7" t="str">
        <f aca="false">IF(D586="","",IFERROR(INDEX(Товары!$B$2:$B$200,MATCH(D586,Товары!$A$2:$A$200,0)),"нет в справочнике"))</f>
        <v/>
      </c>
      <c r="F586" s="6"/>
      <c r="G586" s="8" t="str">
        <f aca="false">IF(D586="","",IFERROR(INDEX(Товары!$C$2:$C$200,MATCH(D586,Товары!$A$2:$A$200,0)),0))</f>
        <v/>
      </c>
      <c r="H586" s="8" t="str">
        <f aca="false">IF(D586="","",F586*G586)</f>
        <v/>
      </c>
      <c r="I586" s="8" t="str">
        <f aca="false">IF(D586="","",F586*IFERROR(INDEX(Товары!$D$2:$D$200,MATCH(D586,Товары!$A$2:$A$200,0)),0))</f>
        <v/>
      </c>
      <c r="J586" s="8" t="str">
        <f aca="false">IF(D586="","",H586-I586)</f>
        <v/>
      </c>
      <c r="K586" s="7" t="str">
        <f aca="false">IF(A586="","",MONTH(A586))</f>
        <v/>
      </c>
      <c r="L586" s="7" t="str">
        <f aca="false">IF(A586="","",YEAR(A586))</f>
        <v/>
      </c>
      <c r="M586" s="9" t="str">
        <f aca="false">IF(B586="","",B586&amp;"|"&amp;COUNTIF(B$2:B586,B586))</f>
        <v/>
      </c>
    </row>
    <row r="587" customFormat="false" ht="15" hidden="false" customHeight="false" outlineLevel="0" collapsed="false">
      <c r="A587" s="5"/>
      <c r="B587" s="6"/>
      <c r="C587" s="6"/>
      <c r="D587" s="6"/>
      <c r="E587" s="7" t="str">
        <f aca="false">IF(D587="","",IFERROR(INDEX(Товары!$B$2:$B$200,MATCH(D587,Товары!$A$2:$A$200,0)),"нет в справочнике"))</f>
        <v/>
      </c>
      <c r="F587" s="6"/>
      <c r="G587" s="8" t="str">
        <f aca="false">IF(D587="","",IFERROR(INDEX(Товары!$C$2:$C$200,MATCH(D587,Товары!$A$2:$A$200,0)),0))</f>
        <v/>
      </c>
      <c r="H587" s="8" t="str">
        <f aca="false">IF(D587="","",F587*G587)</f>
        <v/>
      </c>
      <c r="I587" s="8" t="str">
        <f aca="false">IF(D587="","",F587*IFERROR(INDEX(Товары!$D$2:$D$200,MATCH(D587,Товары!$A$2:$A$200,0)),0))</f>
        <v/>
      </c>
      <c r="J587" s="8" t="str">
        <f aca="false">IF(D587="","",H587-I587)</f>
        <v/>
      </c>
      <c r="K587" s="7" t="str">
        <f aca="false">IF(A587="","",MONTH(A587))</f>
        <v/>
      </c>
      <c r="L587" s="7" t="str">
        <f aca="false">IF(A587="","",YEAR(A587))</f>
        <v/>
      </c>
      <c r="M587" s="9" t="str">
        <f aca="false">IF(B587="","",B587&amp;"|"&amp;COUNTIF(B$2:B587,B587))</f>
        <v/>
      </c>
    </row>
    <row r="588" customFormat="false" ht="15" hidden="false" customHeight="false" outlineLevel="0" collapsed="false">
      <c r="A588" s="5"/>
      <c r="B588" s="6"/>
      <c r="C588" s="6"/>
      <c r="D588" s="6"/>
      <c r="E588" s="7" t="str">
        <f aca="false">IF(D588="","",IFERROR(INDEX(Товары!$B$2:$B$200,MATCH(D588,Товары!$A$2:$A$200,0)),"нет в справочнике"))</f>
        <v/>
      </c>
      <c r="F588" s="6"/>
      <c r="G588" s="8" t="str">
        <f aca="false">IF(D588="","",IFERROR(INDEX(Товары!$C$2:$C$200,MATCH(D588,Товары!$A$2:$A$200,0)),0))</f>
        <v/>
      </c>
      <c r="H588" s="8" t="str">
        <f aca="false">IF(D588="","",F588*G588)</f>
        <v/>
      </c>
      <c r="I588" s="8" t="str">
        <f aca="false">IF(D588="","",F588*IFERROR(INDEX(Товары!$D$2:$D$200,MATCH(D588,Товары!$A$2:$A$200,0)),0))</f>
        <v/>
      </c>
      <c r="J588" s="8" t="str">
        <f aca="false">IF(D588="","",H588-I588)</f>
        <v/>
      </c>
      <c r="K588" s="7" t="str">
        <f aca="false">IF(A588="","",MONTH(A588))</f>
        <v/>
      </c>
      <c r="L588" s="7" t="str">
        <f aca="false">IF(A588="","",YEAR(A588))</f>
        <v/>
      </c>
      <c r="M588" s="9" t="str">
        <f aca="false">IF(B588="","",B588&amp;"|"&amp;COUNTIF(B$2:B588,B588))</f>
        <v/>
      </c>
    </row>
    <row r="589" customFormat="false" ht="15" hidden="false" customHeight="false" outlineLevel="0" collapsed="false">
      <c r="A589" s="5"/>
      <c r="B589" s="6"/>
      <c r="C589" s="6"/>
      <c r="D589" s="6"/>
      <c r="E589" s="7" t="str">
        <f aca="false">IF(D589="","",IFERROR(INDEX(Товары!$B$2:$B$200,MATCH(D589,Товары!$A$2:$A$200,0)),"нет в справочнике"))</f>
        <v/>
      </c>
      <c r="F589" s="6"/>
      <c r="G589" s="8" t="str">
        <f aca="false">IF(D589="","",IFERROR(INDEX(Товары!$C$2:$C$200,MATCH(D589,Товары!$A$2:$A$200,0)),0))</f>
        <v/>
      </c>
      <c r="H589" s="8" t="str">
        <f aca="false">IF(D589="","",F589*G589)</f>
        <v/>
      </c>
      <c r="I589" s="8" t="str">
        <f aca="false">IF(D589="","",F589*IFERROR(INDEX(Товары!$D$2:$D$200,MATCH(D589,Товары!$A$2:$A$200,0)),0))</f>
        <v/>
      </c>
      <c r="J589" s="8" t="str">
        <f aca="false">IF(D589="","",H589-I589)</f>
        <v/>
      </c>
      <c r="K589" s="7" t="str">
        <f aca="false">IF(A589="","",MONTH(A589))</f>
        <v/>
      </c>
      <c r="L589" s="7" t="str">
        <f aca="false">IF(A589="","",YEAR(A589))</f>
        <v/>
      </c>
      <c r="M589" s="9" t="str">
        <f aca="false">IF(B589="","",B589&amp;"|"&amp;COUNTIF(B$2:B589,B589))</f>
        <v/>
      </c>
    </row>
    <row r="590" customFormat="false" ht="15" hidden="false" customHeight="false" outlineLevel="0" collapsed="false">
      <c r="A590" s="5"/>
      <c r="B590" s="6"/>
      <c r="C590" s="6"/>
      <c r="D590" s="6"/>
      <c r="E590" s="7" t="str">
        <f aca="false">IF(D590="","",IFERROR(INDEX(Товары!$B$2:$B$200,MATCH(D590,Товары!$A$2:$A$200,0)),"нет в справочнике"))</f>
        <v/>
      </c>
      <c r="F590" s="6"/>
      <c r="G590" s="8" t="str">
        <f aca="false">IF(D590="","",IFERROR(INDEX(Товары!$C$2:$C$200,MATCH(D590,Товары!$A$2:$A$200,0)),0))</f>
        <v/>
      </c>
      <c r="H590" s="8" t="str">
        <f aca="false">IF(D590="","",F590*G590)</f>
        <v/>
      </c>
      <c r="I590" s="8" t="str">
        <f aca="false">IF(D590="","",F590*IFERROR(INDEX(Товары!$D$2:$D$200,MATCH(D590,Товары!$A$2:$A$200,0)),0))</f>
        <v/>
      </c>
      <c r="J590" s="8" t="str">
        <f aca="false">IF(D590="","",H590-I590)</f>
        <v/>
      </c>
      <c r="K590" s="7" t="str">
        <f aca="false">IF(A590="","",MONTH(A590))</f>
        <v/>
      </c>
      <c r="L590" s="7" t="str">
        <f aca="false">IF(A590="","",YEAR(A590))</f>
        <v/>
      </c>
      <c r="M590" s="9" t="str">
        <f aca="false">IF(B590="","",B590&amp;"|"&amp;COUNTIF(B$2:B590,B590))</f>
        <v/>
      </c>
    </row>
    <row r="591" customFormat="false" ht="15" hidden="false" customHeight="false" outlineLevel="0" collapsed="false">
      <c r="A591" s="5"/>
      <c r="B591" s="6"/>
      <c r="C591" s="6"/>
      <c r="D591" s="6"/>
      <c r="E591" s="7" t="str">
        <f aca="false">IF(D591="","",IFERROR(INDEX(Товары!$B$2:$B$200,MATCH(D591,Товары!$A$2:$A$200,0)),"нет в справочнике"))</f>
        <v/>
      </c>
      <c r="F591" s="6"/>
      <c r="G591" s="8" t="str">
        <f aca="false">IF(D591="","",IFERROR(INDEX(Товары!$C$2:$C$200,MATCH(D591,Товары!$A$2:$A$200,0)),0))</f>
        <v/>
      </c>
      <c r="H591" s="8" t="str">
        <f aca="false">IF(D591="","",F591*G591)</f>
        <v/>
      </c>
      <c r="I591" s="8" t="str">
        <f aca="false">IF(D591="","",F591*IFERROR(INDEX(Товары!$D$2:$D$200,MATCH(D591,Товары!$A$2:$A$200,0)),0))</f>
        <v/>
      </c>
      <c r="J591" s="8" t="str">
        <f aca="false">IF(D591="","",H591-I591)</f>
        <v/>
      </c>
      <c r="K591" s="7" t="str">
        <f aca="false">IF(A591="","",MONTH(A591))</f>
        <v/>
      </c>
      <c r="L591" s="7" t="str">
        <f aca="false">IF(A591="","",YEAR(A591))</f>
        <v/>
      </c>
      <c r="M591" s="9" t="str">
        <f aca="false">IF(B591="","",B591&amp;"|"&amp;COUNTIF(B$2:B591,B591))</f>
        <v/>
      </c>
    </row>
    <row r="592" customFormat="false" ht="15" hidden="false" customHeight="false" outlineLevel="0" collapsed="false">
      <c r="A592" s="5"/>
      <c r="B592" s="6"/>
      <c r="C592" s="6"/>
      <c r="D592" s="6"/>
      <c r="E592" s="7" t="str">
        <f aca="false">IF(D592="","",IFERROR(INDEX(Товары!$B$2:$B$200,MATCH(D592,Товары!$A$2:$A$200,0)),"нет в справочнике"))</f>
        <v/>
      </c>
      <c r="F592" s="6"/>
      <c r="G592" s="8" t="str">
        <f aca="false">IF(D592="","",IFERROR(INDEX(Товары!$C$2:$C$200,MATCH(D592,Товары!$A$2:$A$200,0)),0))</f>
        <v/>
      </c>
      <c r="H592" s="8" t="str">
        <f aca="false">IF(D592="","",F592*G592)</f>
        <v/>
      </c>
      <c r="I592" s="8" t="str">
        <f aca="false">IF(D592="","",F592*IFERROR(INDEX(Товары!$D$2:$D$200,MATCH(D592,Товары!$A$2:$A$200,0)),0))</f>
        <v/>
      </c>
      <c r="J592" s="8" t="str">
        <f aca="false">IF(D592="","",H592-I592)</f>
        <v/>
      </c>
      <c r="K592" s="7" t="str">
        <f aca="false">IF(A592="","",MONTH(A592))</f>
        <v/>
      </c>
      <c r="L592" s="7" t="str">
        <f aca="false">IF(A592="","",YEAR(A592))</f>
        <v/>
      </c>
      <c r="M592" s="9" t="str">
        <f aca="false">IF(B592="","",B592&amp;"|"&amp;COUNTIF(B$2:B592,B592))</f>
        <v/>
      </c>
    </row>
    <row r="593" customFormat="false" ht="15" hidden="false" customHeight="false" outlineLevel="0" collapsed="false">
      <c r="A593" s="5"/>
      <c r="B593" s="6"/>
      <c r="C593" s="6"/>
      <c r="D593" s="6"/>
      <c r="E593" s="7" t="str">
        <f aca="false">IF(D593="","",IFERROR(INDEX(Товары!$B$2:$B$200,MATCH(D593,Товары!$A$2:$A$200,0)),"нет в справочнике"))</f>
        <v/>
      </c>
      <c r="F593" s="6"/>
      <c r="G593" s="8" t="str">
        <f aca="false">IF(D593="","",IFERROR(INDEX(Товары!$C$2:$C$200,MATCH(D593,Товары!$A$2:$A$200,0)),0))</f>
        <v/>
      </c>
      <c r="H593" s="8" t="str">
        <f aca="false">IF(D593="","",F593*G593)</f>
        <v/>
      </c>
      <c r="I593" s="8" t="str">
        <f aca="false">IF(D593="","",F593*IFERROR(INDEX(Товары!$D$2:$D$200,MATCH(D593,Товары!$A$2:$A$200,0)),0))</f>
        <v/>
      </c>
      <c r="J593" s="8" t="str">
        <f aca="false">IF(D593="","",H593-I593)</f>
        <v/>
      </c>
      <c r="K593" s="7" t="str">
        <f aca="false">IF(A593="","",MONTH(A593))</f>
        <v/>
      </c>
      <c r="L593" s="7" t="str">
        <f aca="false">IF(A593="","",YEAR(A593))</f>
        <v/>
      </c>
      <c r="M593" s="9" t="str">
        <f aca="false">IF(B593="","",B593&amp;"|"&amp;COUNTIF(B$2:B593,B593))</f>
        <v/>
      </c>
    </row>
    <row r="594" customFormat="false" ht="15" hidden="false" customHeight="false" outlineLevel="0" collapsed="false">
      <c r="A594" s="5"/>
      <c r="B594" s="6"/>
      <c r="C594" s="6"/>
      <c r="D594" s="6"/>
      <c r="E594" s="7" t="str">
        <f aca="false">IF(D594="","",IFERROR(INDEX(Товары!$B$2:$B$200,MATCH(D594,Товары!$A$2:$A$200,0)),"нет в справочнике"))</f>
        <v/>
      </c>
      <c r="F594" s="6"/>
      <c r="G594" s="8" t="str">
        <f aca="false">IF(D594="","",IFERROR(INDEX(Товары!$C$2:$C$200,MATCH(D594,Товары!$A$2:$A$200,0)),0))</f>
        <v/>
      </c>
      <c r="H594" s="8" t="str">
        <f aca="false">IF(D594="","",F594*G594)</f>
        <v/>
      </c>
      <c r="I594" s="8" t="str">
        <f aca="false">IF(D594="","",F594*IFERROR(INDEX(Товары!$D$2:$D$200,MATCH(D594,Товары!$A$2:$A$200,0)),0))</f>
        <v/>
      </c>
      <c r="J594" s="8" t="str">
        <f aca="false">IF(D594="","",H594-I594)</f>
        <v/>
      </c>
      <c r="K594" s="7" t="str">
        <f aca="false">IF(A594="","",MONTH(A594))</f>
        <v/>
      </c>
      <c r="L594" s="7" t="str">
        <f aca="false">IF(A594="","",YEAR(A594))</f>
        <v/>
      </c>
      <c r="M594" s="9" t="str">
        <f aca="false">IF(B594="","",B594&amp;"|"&amp;COUNTIF(B$2:B594,B594))</f>
        <v/>
      </c>
    </row>
    <row r="595" customFormat="false" ht="15" hidden="false" customHeight="false" outlineLevel="0" collapsed="false">
      <c r="A595" s="5"/>
      <c r="B595" s="6"/>
      <c r="C595" s="6"/>
      <c r="D595" s="6"/>
      <c r="E595" s="7" t="str">
        <f aca="false">IF(D595="","",IFERROR(INDEX(Товары!$B$2:$B$200,MATCH(D595,Товары!$A$2:$A$200,0)),"нет в справочнике"))</f>
        <v/>
      </c>
      <c r="F595" s="6"/>
      <c r="G595" s="8" t="str">
        <f aca="false">IF(D595="","",IFERROR(INDEX(Товары!$C$2:$C$200,MATCH(D595,Товары!$A$2:$A$200,0)),0))</f>
        <v/>
      </c>
      <c r="H595" s="8" t="str">
        <f aca="false">IF(D595="","",F595*G595)</f>
        <v/>
      </c>
      <c r="I595" s="8" t="str">
        <f aca="false">IF(D595="","",F595*IFERROR(INDEX(Товары!$D$2:$D$200,MATCH(D595,Товары!$A$2:$A$200,0)),0))</f>
        <v/>
      </c>
      <c r="J595" s="8" t="str">
        <f aca="false">IF(D595="","",H595-I595)</f>
        <v/>
      </c>
      <c r="K595" s="7" t="str">
        <f aca="false">IF(A595="","",MONTH(A595))</f>
        <v/>
      </c>
      <c r="L595" s="7" t="str">
        <f aca="false">IF(A595="","",YEAR(A595))</f>
        <v/>
      </c>
      <c r="M595" s="9" t="str">
        <f aca="false">IF(B595="","",B595&amp;"|"&amp;COUNTIF(B$2:B595,B595))</f>
        <v/>
      </c>
    </row>
    <row r="596" customFormat="false" ht="15" hidden="false" customHeight="false" outlineLevel="0" collapsed="false">
      <c r="A596" s="5"/>
      <c r="B596" s="6"/>
      <c r="C596" s="6"/>
      <c r="D596" s="6"/>
      <c r="E596" s="7" t="str">
        <f aca="false">IF(D596="","",IFERROR(INDEX(Товары!$B$2:$B$200,MATCH(D596,Товары!$A$2:$A$200,0)),"нет в справочнике"))</f>
        <v/>
      </c>
      <c r="F596" s="6"/>
      <c r="G596" s="8" t="str">
        <f aca="false">IF(D596="","",IFERROR(INDEX(Товары!$C$2:$C$200,MATCH(D596,Товары!$A$2:$A$200,0)),0))</f>
        <v/>
      </c>
      <c r="H596" s="8" t="str">
        <f aca="false">IF(D596="","",F596*G596)</f>
        <v/>
      </c>
      <c r="I596" s="8" t="str">
        <f aca="false">IF(D596="","",F596*IFERROR(INDEX(Товары!$D$2:$D$200,MATCH(D596,Товары!$A$2:$A$200,0)),0))</f>
        <v/>
      </c>
      <c r="J596" s="8" t="str">
        <f aca="false">IF(D596="","",H596-I596)</f>
        <v/>
      </c>
      <c r="K596" s="7" t="str">
        <f aca="false">IF(A596="","",MONTH(A596))</f>
        <v/>
      </c>
      <c r="L596" s="7" t="str">
        <f aca="false">IF(A596="","",YEAR(A596))</f>
        <v/>
      </c>
      <c r="M596" s="9" t="str">
        <f aca="false">IF(B596="","",B596&amp;"|"&amp;COUNTIF(B$2:B596,B596))</f>
        <v/>
      </c>
    </row>
    <row r="597" customFormat="false" ht="15" hidden="false" customHeight="false" outlineLevel="0" collapsed="false">
      <c r="A597" s="5"/>
      <c r="B597" s="6"/>
      <c r="C597" s="6"/>
      <c r="D597" s="6"/>
      <c r="E597" s="7" t="str">
        <f aca="false">IF(D597="","",IFERROR(INDEX(Товары!$B$2:$B$200,MATCH(D597,Товары!$A$2:$A$200,0)),"нет в справочнике"))</f>
        <v/>
      </c>
      <c r="F597" s="6"/>
      <c r="G597" s="8" t="str">
        <f aca="false">IF(D597="","",IFERROR(INDEX(Товары!$C$2:$C$200,MATCH(D597,Товары!$A$2:$A$200,0)),0))</f>
        <v/>
      </c>
      <c r="H597" s="8" t="str">
        <f aca="false">IF(D597="","",F597*G597)</f>
        <v/>
      </c>
      <c r="I597" s="8" t="str">
        <f aca="false">IF(D597="","",F597*IFERROR(INDEX(Товары!$D$2:$D$200,MATCH(D597,Товары!$A$2:$A$200,0)),0))</f>
        <v/>
      </c>
      <c r="J597" s="8" t="str">
        <f aca="false">IF(D597="","",H597-I597)</f>
        <v/>
      </c>
      <c r="K597" s="7" t="str">
        <f aca="false">IF(A597="","",MONTH(A597))</f>
        <v/>
      </c>
      <c r="L597" s="7" t="str">
        <f aca="false">IF(A597="","",YEAR(A597))</f>
        <v/>
      </c>
      <c r="M597" s="9" t="str">
        <f aca="false">IF(B597="","",B597&amp;"|"&amp;COUNTIF(B$2:B597,B597))</f>
        <v/>
      </c>
    </row>
    <row r="598" customFormat="false" ht="15" hidden="false" customHeight="false" outlineLevel="0" collapsed="false">
      <c r="A598" s="5"/>
      <c r="B598" s="6"/>
      <c r="C598" s="6"/>
      <c r="D598" s="6"/>
      <c r="E598" s="7" t="str">
        <f aca="false">IF(D598="","",IFERROR(INDEX(Товары!$B$2:$B$200,MATCH(D598,Товары!$A$2:$A$200,0)),"нет в справочнике"))</f>
        <v/>
      </c>
      <c r="F598" s="6"/>
      <c r="G598" s="8" t="str">
        <f aca="false">IF(D598="","",IFERROR(INDEX(Товары!$C$2:$C$200,MATCH(D598,Товары!$A$2:$A$200,0)),0))</f>
        <v/>
      </c>
      <c r="H598" s="8" t="str">
        <f aca="false">IF(D598="","",F598*G598)</f>
        <v/>
      </c>
      <c r="I598" s="8" t="str">
        <f aca="false">IF(D598="","",F598*IFERROR(INDEX(Товары!$D$2:$D$200,MATCH(D598,Товары!$A$2:$A$200,0)),0))</f>
        <v/>
      </c>
      <c r="J598" s="8" t="str">
        <f aca="false">IF(D598="","",H598-I598)</f>
        <v/>
      </c>
      <c r="K598" s="7" t="str">
        <f aca="false">IF(A598="","",MONTH(A598))</f>
        <v/>
      </c>
      <c r="L598" s="7" t="str">
        <f aca="false">IF(A598="","",YEAR(A598))</f>
        <v/>
      </c>
      <c r="M598" s="9" t="str">
        <f aca="false">IF(B598="","",B598&amp;"|"&amp;COUNTIF(B$2:B598,B598))</f>
        <v/>
      </c>
    </row>
    <row r="599" customFormat="false" ht="15" hidden="false" customHeight="false" outlineLevel="0" collapsed="false">
      <c r="A599" s="5"/>
      <c r="B599" s="6"/>
      <c r="C599" s="6"/>
      <c r="D599" s="6"/>
      <c r="E599" s="7" t="str">
        <f aca="false">IF(D599="","",IFERROR(INDEX(Товары!$B$2:$B$200,MATCH(D599,Товары!$A$2:$A$200,0)),"нет в справочнике"))</f>
        <v/>
      </c>
      <c r="F599" s="6"/>
      <c r="G599" s="8" t="str">
        <f aca="false">IF(D599="","",IFERROR(INDEX(Товары!$C$2:$C$200,MATCH(D599,Товары!$A$2:$A$200,0)),0))</f>
        <v/>
      </c>
      <c r="H599" s="8" t="str">
        <f aca="false">IF(D599="","",F599*G599)</f>
        <v/>
      </c>
      <c r="I599" s="8" t="str">
        <f aca="false">IF(D599="","",F599*IFERROR(INDEX(Товары!$D$2:$D$200,MATCH(D599,Товары!$A$2:$A$200,0)),0))</f>
        <v/>
      </c>
      <c r="J599" s="8" t="str">
        <f aca="false">IF(D599="","",H599-I599)</f>
        <v/>
      </c>
      <c r="K599" s="7" t="str">
        <f aca="false">IF(A599="","",MONTH(A599))</f>
        <v/>
      </c>
      <c r="L599" s="7" t="str">
        <f aca="false">IF(A599="","",YEAR(A599))</f>
        <v/>
      </c>
      <c r="M599" s="9" t="str">
        <f aca="false">IF(B599="","",B599&amp;"|"&amp;COUNTIF(B$2:B599,B599))</f>
        <v/>
      </c>
    </row>
    <row r="600" customFormat="false" ht="15" hidden="false" customHeight="false" outlineLevel="0" collapsed="false">
      <c r="A600" s="5"/>
      <c r="B600" s="6"/>
      <c r="C600" s="6"/>
      <c r="D600" s="6"/>
      <c r="E600" s="7" t="str">
        <f aca="false">IF(D600="","",IFERROR(INDEX(Товары!$B$2:$B$200,MATCH(D600,Товары!$A$2:$A$200,0)),"нет в справочнике"))</f>
        <v/>
      </c>
      <c r="F600" s="6"/>
      <c r="G600" s="8" t="str">
        <f aca="false">IF(D600="","",IFERROR(INDEX(Товары!$C$2:$C$200,MATCH(D600,Товары!$A$2:$A$200,0)),0))</f>
        <v/>
      </c>
      <c r="H600" s="8" t="str">
        <f aca="false">IF(D600="","",F600*G600)</f>
        <v/>
      </c>
      <c r="I600" s="8" t="str">
        <f aca="false">IF(D600="","",F600*IFERROR(INDEX(Товары!$D$2:$D$200,MATCH(D600,Товары!$A$2:$A$200,0)),0))</f>
        <v/>
      </c>
      <c r="J600" s="8" t="str">
        <f aca="false">IF(D600="","",H600-I600)</f>
        <v/>
      </c>
      <c r="K600" s="7" t="str">
        <f aca="false">IF(A600="","",MONTH(A600))</f>
        <v/>
      </c>
      <c r="L600" s="7" t="str">
        <f aca="false">IF(A600="","",YEAR(A600))</f>
        <v/>
      </c>
      <c r="M600" s="9" t="str">
        <f aca="false">IF(B600="","",B600&amp;"|"&amp;COUNTIF(B$2:B600,B600))</f>
        <v/>
      </c>
    </row>
    <row r="601" customFormat="false" ht="15" hidden="false" customHeight="false" outlineLevel="0" collapsed="false">
      <c r="A601" s="5"/>
      <c r="B601" s="6"/>
      <c r="C601" s="6"/>
      <c r="D601" s="6"/>
      <c r="E601" s="7" t="str">
        <f aca="false">IF(D601="","",IFERROR(INDEX(Товары!$B$2:$B$200,MATCH(D601,Товары!$A$2:$A$200,0)),"нет в справочнике"))</f>
        <v/>
      </c>
      <c r="F601" s="6"/>
      <c r="G601" s="8" t="str">
        <f aca="false">IF(D601="","",IFERROR(INDEX(Товары!$C$2:$C$200,MATCH(D601,Товары!$A$2:$A$200,0)),0))</f>
        <v/>
      </c>
      <c r="H601" s="8" t="str">
        <f aca="false">IF(D601="","",F601*G601)</f>
        <v/>
      </c>
      <c r="I601" s="8" t="str">
        <f aca="false">IF(D601="","",F601*IFERROR(INDEX(Товары!$D$2:$D$200,MATCH(D601,Товары!$A$2:$A$200,0)),0))</f>
        <v/>
      </c>
      <c r="J601" s="8" t="str">
        <f aca="false">IF(D601="","",H601-I601)</f>
        <v/>
      </c>
      <c r="K601" s="7" t="str">
        <f aca="false">IF(A601="","",MONTH(A601))</f>
        <v/>
      </c>
      <c r="L601" s="7" t="str">
        <f aca="false">IF(A601="","",YEAR(A601))</f>
        <v/>
      </c>
      <c r="M601" s="9" t="str">
        <f aca="false">IF(B601="","",B601&amp;"|"&amp;COUNTIF(B$2:B601,B601))</f>
        <v/>
      </c>
    </row>
    <row r="602" customFormat="false" ht="15" hidden="false" customHeight="false" outlineLevel="0" collapsed="false">
      <c r="A602" s="5"/>
      <c r="B602" s="6"/>
      <c r="C602" s="6"/>
      <c r="D602" s="6"/>
      <c r="E602" s="7" t="str">
        <f aca="false">IF(D602="","",IFERROR(INDEX(Товары!$B$2:$B$200,MATCH(D602,Товары!$A$2:$A$200,0)),"нет в справочнике"))</f>
        <v/>
      </c>
      <c r="F602" s="6"/>
      <c r="G602" s="8" t="str">
        <f aca="false">IF(D602="","",IFERROR(INDEX(Товары!$C$2:$C$200,MATCH(D602,Товары!$A$2:$A$200,0)),0))</f>
        <v/>
      </c>
      <c r="H602" s="8" t="str">
        <f aca="false">IF(D602="","",F602*G602)</f>
        <v/>
      </c>
      <c r="I602" s="8" t="str">
        <f aca="false">IF(D602="","",F602*IFERROR(INDEX(Товары!$D$2:$D$200,MATCH(D602,Товары!$A$2:$A$200,0)),0))</f>
        <v/>
      </c>
      <c r="J602" s="8" t="str">
        <f aca="false">IF(D602="","",H602-I602)</f>
        <v/>
      </c>
      <c r="K602" s="7" t="str">
        <f aca="false">IF(A602="","",MONTH(A602))</f>
        <v/>
      </c>
      <c r="L602" s="7" t="str">
        <f aca="false">IF(A602="","",YEAR(A602))</f>
        <v/>
      </c>
      <c r="M602" s="9" t="str">
        <f aca="false">IF(B602="","",B602&amp;"|"&amp;COUNTIF(B$2:B602,B602))</f>
        <v/>
      </c>
    </row>
    <row r="603" customFormat="false" ht="15" hidden="false" customHeight="false" outlineLevel="0" collapsed="false">
      <c r="A603" s="5"/>
      <c r="B603" s="6"/>
      <c r="C603" s="6"/>
      <c r="D603" s="6"/>
      <c r="E603" s="7" t="str">
        <f aca="false">IF(D603="","",IFERROR(INDEX(Товары!$B$2:$B$200,MATCH(D603,Товары!$A$2:$A$200,0)),"нет в справочнике"))</f>
        <v/>
      </c>
      <c r="F603" s="6"/>
      <c r="G603" s="8" t="str">
        <f aca="false">IF(D603="","",IFERROR(INDEX(Товары!$C$2:$C$200,MATCH(D603,Товары!$A$2:$A$200,0)),0))</f>
        <v/>
      </c>
      <c r="H603" s="8" t="str">
        <f aca="false">IF(D603="","",F603*G603)</f>
        <v/>
      </c>
      <c r="I603" s="8" t="str">
        <f aca="false">IF(D603="","",F603*IFERROR(INDEX(Товары!$D$2:$D$200,MATCH(D603,Товары!$A$2:$A$200,0)),0))</f>
        <v/>
      </c>
      <c r="J603" s="8" t="str">
        <f aca="false">IF(D603="","",H603-I603)</f>
        <v/>
      </c>
      <c r="K603" s="7" t="str">
        <f aca="false">IF(A603="","",MONTH(A603))</f>
        <v/>
      </c>
      <c r="L603" s="7" t="str">
        <f aca="false">IF(A603="","",YEAR(A603))</f>
        <v/>
      </c>
      <c r="M603" s="9" t="str">
        <f aca="false">IF(B603="","",B603&amp;"|"&amp;COUNTIF(B$2:B603,B603))</f>
        <v/>
      </c>
    </row>
    <row r="604" customFormat="false" ht="15" hidden="false" customHeight="false" outlineLevel="0" collapsed="false">
      <c r="A604" s="5"/>
      <c r="B604" s="6"/>
      <c r="C604" s="6"/>
      <c r="D604" s="6"/>
      <c r="E604" s="7" t="str">
        <f aca="false">IF(D604="","",IFERROR(INDEX(Товары!$B$2:$B$200,MATCH(D604,Товары!$A$2:$A$200,0)),"нет в справочнике"))</f>
        <v/>
      </c>
      <c r="F604" s="6"/>
      <c r="G604" s="8" t="str">
        <f aca="false">IF(D604="","",IFERROR(INDEX(Товары!$C$2:$C$200,MATCH(D604,Товары!$A$2:$A$200,0)),0))</f>
        <v/>
      </c>
      <c r="H604" s="8" t="str">
        <f aca="false">IF(D604="","",F604*G604)</f>
        <v/>
      </c>
      <c r="I604" s="8" t="str">
        <f aca="false">IF(D604="","",F604*IFERROR(INDEX(Товары!$D$2:$D$200,MATCH(D604,Товары!$A$2:$A$200,0)),0))</f>
        <v/>
      </c>
      <c r="J604" s="8" t="str">
        <f aca="false">IF(D604="","",H604-I604)</f>
        <v/>
      </c>
      <c r="K604" s="7" t="str">
        <f aca="false">IF(A604="","",MONTH(A604))</f>
        <v/>
      </c>
      <c r="L604" s="7" t="str">
        <f aca="false">IF(A604="","",YEAR(A604))</f>
        <v/>
      </c>
      <c r="M604" s="9" t="str">
        <f aca="false">IF(B604="","",B604&amp;"|"&amp;COUNTIF(B$2:B604,B604))</f>
        <v/>
      </c>
    </row>
    <row r="605" customFormat="false" ht="15" hidden="false" customHeight="false" outlineLevel="0" collapsed="false">
      <c r="A605" s="5"/>
      <c r="B605" s="6"/>
      <c r="C605" s="6"/>
      <c r="D605" s="6"/>
      <c r="E605" s="7" t="str">
        <f aca="false">IF(D605="","",IFERROR(INDEX(Товары!$B$2:$B$200,MATCH(D605,Товары!$A$2:$A$200,0)),"нет в справочнике"))</f>
        <v/>
      </c>
      <c r="F605" s="6"/>
      <c r="G605" s="8" t="str">
        <f aca="false">IF(D605="","",IFERROR(INDEX(Товары!$C$2:$C$200,MATCH(D605,Товары!$A$2:$A$200,0)),0))</f>
        <v/>
      </c>
      <c r="H605" s="8" t="str">
        <f aca="false">IF(D605="","",F605*G605)</f>
        <v/>
      </c>
      <c r="I605" s="8" t="str">
        <f aca="false">IF(D605="","",F605*IFERROR(INDEX(Товары!$D$2:$D$200,MATCH(D605,Товары!$A$2:$A$200,0)),0))</f>
        <v/>
      </c>
      <c r="J605" s="8" t="str">
        <f aca="false">IF(D605="","",H605-I605)</f>
        <v/>
      </c>
      <c r="K605" s="7" t="str">
        <f aca="false">IF(A605="","",MONTH(A605))</f>
        <v/>
      </c>
      <c r="L605" s="7" t="str">
        <f aca="false">IF(A605="","",YEAR(A605))</f>
        <v/>
      </c>
      <c r="M605" s="9" t="str">
        <f aca="false">IF(B605="","",B605&amp;"|"&amp;COUNTIF(B$2:B605,B605))</f>
        <v/>
      </c>
    </row>
    <row r="606" customFormat="false" ht="15" hidden="false" customHeight="false" outlineLevel="0" collapsed="false">
      <c r="A606" s="5"/>
      <c r="B606" s="6"/>
      <c r="C606" s="6"/>
      <c r="D606" s="6"/>
      <c r="E606" s="7" t="str">
        <f aca="false">IF(D606="","",IFERROR(INDEX(Товары!$B$2:$B$200,MATCH(D606,Товары!$A$2:$A$200,0)),"нет в справочнике"))</f>
        <v/>
      </c>
      <c r="F606" s="6"/>
      <c r="G606" s="8" t="str">
        <f aca="false">IF(D606="","",IFERROR(INDEX(Товары!$C$2:$C$200,MATCH(D606,Товары!$A$2:$A$200,0)),0))</f>
        <v/>
      </c>
      <c r="H606" s="8" t="str">
        <f aca="false">IF(D606="","",F606*G606)</f>
        <v/>
      </c>
      <c r="I606" s="8" t="str">
        <f aca="false">IF(D606="","",F606*IFERROR(INDEX(Товары!$D$2:$D$200,MATCH(D606,Товары!$A$2:$A$200,0)),0))</f>
        <v/>
      </c>
      <c r="J606" s="8" t="str">
        <f aca="false">IF(D606="","",H606-I606)</f>
        <v/>
      </c>
      <c r="K606" s="7" t="str">
        <f aca="false">IF(A606="","",MONTH(A606))</f>
        <v/>
      </c>
      <c r="L606" s="7" t="str">
        <f aca="false">IF(A606="","",YEAR(A606))</f>
        <v/>
      </c>
      <c r="M606" s="9" t="str">
        <f aca="false">IF(B606="","",B606&amp;"|"&amp;COUNTIF(B$2:B606,B606))</f>
        <v/>
      </c>
    </row>
    <row r="607" customFormat="false" ht="15" hidden="false" customHeight="false" outlineLevel="0" collapsed="false">
      <c r="A607" s="5"/>
      <c r="B607" s="6"/>
      <c r="C607" s="6"/>
      <c r="D607" s="6"/>
      <c r="E607" s="7" t="str">
        <f aca="false">IF(D607="","",IFERROR(INDEX(Товары!$B$2:$B$200,MATCH(D607,Товары!$A$2:$A$200,0)),"нет в справочнике"))</f>
        <v/>
      </c>
      <c r="F607" s="6"/>
      <c r="G607" s="8" t="str">
        <f aca="false">IF(D607="","",IFERROR(INDEX(Товары!$C$2:$C$200,MATCH(D607,Товары!$A$2:$A$200,0)),0))</f>
        <v/>
      </c>
      <c r="H607" s="8" t="str">
        <f aca="false">IF(D607="","",F607*G607)</f>
        <v/>
      </c>
      <c r="I607" s="8" t="str">
        <f aca="false">IF(D607="","",F607*IFERROR(INDEX(Товары!$D$2:$D$200,MATCH(D607,Товары!$A$2:$A$200,0)),0))</f>
        <v/>
      </c>
      <c r="J607" s="8" t="str">
        <f aca="false">IF(D607="","",H607-I607)</f>
        <v/>
      </c>
      <c r="K607" s="7" t="str">
        <f aca="false">IF(A607="","",MONTH(A607))</f>
        <v/>
      </c>
      <c r="L607" s="7" t="str">
        <f aca="false">IF(A607="","",YEAR(A607))</f>
        <v/>
      </c>
      <c r="M607" s="9" t="str">
        <f aca="false">IF(B607="","",B607&amp;"|"&amp;COUNTIF(B$2:B607,B607))</f>
        <v/>
      </c>
    </row>
    <row r="608" customFormat="false" ht="15" hidden="false" customHeight="false" outlineLevel="0" collapsed="false">
      <c r="A608" s="5"/>
      <c r="B608" s="6"/>
      <c r="C608" s="6"/>
      <c r="D608" s="6"/>
      <c r="E608" s="7" t="str">
        <f aca="false">IF(D608="","",IFERROR(INDEX(Товары!$B$2:$B$200,MATCH(D608,Товары!$A$2:$A$200,0)),"нет в справочнике"))</f>
        <v/>
      </c>
      <c r="F608" s="6"/>
      <c r="G608" s="8" t="str">
        <f aca="false">IF(D608="","",IFERROR(INDEX(Товары!$C$2:$C$200,MATCH(D608,Товары!$A$2:$A$200,0)),0))</f>
        <v/>
      </c>
      <c r="H608" s="8" t="str">
        <f aca="false">IF(D608="","",F608*G608)</f>
        <v/>
      </c>
      <c r="I608" s="8" t="str">
        <f aca="false">IF(D608="","",F608*IFERROR(INDEX(Товары!$D$2:$D$200,MATCH(D608,Товары!$A$2:$A$200,0)),0))</f>
        <v/>
      </c>
      <c r="J608" s="8" t="str">
        <f aca="false">IF(D608="","",H608-I608)</f>
        <v/>
      </c>
      <c r="K608" s="7" t="str">
        <f aca="false">IF(A608="","",MONTH(A608))</f>
        <v/>
      </c>
      <c r="L608" s="7" t="str">
        <f aca="false">IF(A608="","",YEAR(A608))</f>
        <v/>
      </c>
      <c r="M608" s="9" t="str">
        <f aca="false">IF(B608="","",B608&amp;"|"&amp;COUNTIF(B$2:B608,B608))</f>
        <v/>
      </c>
    </row>
    <row r="609" customFormat="false" ht="15" hidden="false" customHeight="false" outlineLevel="0" collapsed="false">
      <c r="A609" s="5"/>
      <c r="B609" s="6"/>
      <c r="C609" s="6"/>
      <c r="D609" s="6"/>
      <c r="E609" s="7" t="str">
        <f aca="false">IF(D609="","",IFERROR(INDEX(Товары!$B$2:$B$200,MATCH(D609,Товары!$A$2:$A$200,0)),"нет в справочнике"))</f>
        <v/>
      </c>
      <c r="F609" s="6"/>
      <c r="G609" s="8" t="str">
        <f aca="false">IF(D609="","",IFERROR(INDEX(Товары!$C$2:$C$200,MATCH(D609,Товары!$A$2:$A$200,0)),0))</f>
        <v/>
      </c>
      <c r="H609" s="8" t="str">
        <f aca="false">IF(D609="","",F609*G609)</f>
        <v/>
      </c>
      <c r="I609" s="8" t="str">
        <f aca="false">IF(D609="","",F609*IFERROR(INDEX(Товары!$D$2:$D$200,MATCH(D609,Товары!$A$2:$A$200,0)),0))</f>
        <v/>
      </c>
      <c r="J609" s="8" t="str">
        <f aca="false">IF(D609="","",H609-I609)</f>
        <v/>
      </c>
      <c r="K609" s="7" t="str">
        <f aca="false">IF(A609="","",MONTH(A609))</f>
        <v/>
      </c>
      <c r="L609" s="7" t="str">
        <f aca="false">IF(A609="","",YEAR(A609))</f>
        <v/>
      </c>
      <c r="M609" s="9" t="str">
        <f aca="false">IF(B609="","",B609&amp;"|"&amp;COUNTIF(B$2:B609,B609))</f>
        <v/>
      </c>
    </row>
    <row r="610" customFormat="false" ht="15" hidden="false" customHeight="false" outlineLevel="0" collapsed="false">
      <c r="A610" s="5"/>
      <c r="B610" s="6"/>
      <c r="C610" s="6"/>
      <c r="D610" s="6"/>
      <c r="E610" s="7" t="str">
        <f aca="false">IF(D610="","",IFERROR(INDEX(Товары!$B$2:$B$200,MATCH(D610,Товары!$A$2:$A$200,0)),"нет в справочнике"))</f>
        <v/>
      </c>
      <c r="F610" s="6"/>
      <c r="G610" s="8" t="str">
        <f aca="false">IF(D610="","",IFERROR(INDEX(Товары!$C$2:$C$200,MATCH(D610,Товары!$A$2:$A$200,0)),0))</f>
        <v/>
      </c>
      <c r="H610" s="8" t="str">
        <f aca="false">IF(D610="","",F610*G610)</f>
        <v/>
      </c>
      <c r="I610" s="8" t="str">
        <f aca="false">IF(D610="","",F610*IFERROR(INDEX(Товары!$D$2:$D$200,MATCH(D610,Товары!$A$2:$A$200,0)),0))</f>
        <v/>
      </c>
      <c r="J610" s="8" t="str">
        <f aca="false">IF(D610="","",H610-I610)</f>
        <v/>
      </c>
      <c r="K610" s="7" t="str">
        <f aca="false">IF(A610="","",MONTH(A610))</f>
        <v/>
      </c>
      <c r="L610" s="7" t="str">
        <f aca="false">IF(A610="","",YEAR(A610))</f>
        <v/>
      </c>
      <c r="M610" s="9" t="str">
        <f aca="false">IF(B610="","",B610&amp;"|"&amp;COUNTIF(B$2:B610,B610))</f>
        <v/>
      </c>
    </row>
    <row r="611" customFormat="false" ht="15" hidden="false" customHeight="false" outlineLevel="0" collapsed="false">
      <c r="A611" s="5"/>
      <c r="B611" s="6"/>
      <c r="C611" s="6"/>
      <c r="D611" s="6"/>
      <c r="E611" s="7" t="str">
        <f aca="false">IF(D611="","",IFERROR(INDEX(Товары!$B$2:$B$200,MATCH(D611,Товары!$A$2:$A$200,0)),"нет в справочнике"))</f>
        <v/>
      </c>
      <c r="F611" s="6"/>
      <c r="G611" s="8" t="str">
        <f aca="false">IF(D611="","",IFERROR(INDEX(Товары!$C$2:$C$200,MATCH(D611,Товары!$A$2:$A$200,0)),0))</f>
        <v/>
      </c>
      <c r="H611" s="8" t="str">
        <f aca="false">IF(D611="","",F611*G611)</f>
        <v/>
      </c>
      <c r="I611" s="8" t="str">
        <f aca="false">IF(D611="","",F611*IFERROR(INDEX(Товары!$D$2:$D$200,MATCH(D611,Товары!$A$2:$A$200,0)),0))</f>
        <v/>
      </c>
      <c r="J611" s="8" t="str">
        <f aca="false">IF(D611="","",H611-I611)</f>
        <v/>
      </c>
      <c r="K611" s="7" t="str">
        <f aca="false">IF(A611="","",MONTH(A611))</f>
        <v/>
      </c>
      <c r="L611" s="7" t="str">
        <f aca="false">IF(A611="","",YEAR(A611))</f>
        <v/>
      </c>
      <c r="M611" s="9" t="str">
        <f aca="false">IF(B611="","",B611&amp;"|"&amp;COUNTIF(B$2:B611,B611))</f>
        <v/>
      </c>
    </row>
    <row r="612" customFormat="false" ht="15" hidden="false" customHeight="false" outlineLevel="0" collapsed="false">
      <c r="A612" s="5"/>
      <c r="B612" s="6"/>
      <c r="C612" s="6"/>
      <c r="D612" s="6"/>
      <c r="E612" s="7" t="str">
        <f aca="false">IF(D612="","",IFERROR(INDEX(Товары!$B$2:$B$200,MATCH(D612,Товары!$A$2:$A$200,0)),"нет в справочнике"))</f>
        <v/>
      </c>
      <c r="F612" s="6"/>
      <c r="G612" s="8" t="str">
        <f aca="false">IF(D612="","",IFERROR(INDEX(Товары!$C$2:$C$200,MATCH(D612,Товары!$A$2:$A$200,0)),0))</f>
        <v/>
      </c>
      <c r="H612" s="8" t="str">
        <f aca="false">IF(D612="","",F612*G612)</f>
        <v/>
      </c>
      <c r="I612" s="8" t="str">
        <f aca="false">IF(D612="","",F612*IFERROR(INDEX(Товары!$D$2:$D$200,MATCH(D612,Товары!$A$2:$A$200,0)),0))</f>
        <v/>
      </c>
      <c r="J612" s="8" t="str">
        <f aca="false">IF(D612="","",H612-I612)</f>
        <v/>
      </c>
      <c r="K612" s="7" t="str">
        <f aca="false">IF(A612="","",MONTH(A612))</f>
        <v/>
      </c>
      <c r="L612" s="7" t="str">
        <f aca="false">IF(A612="","",YEAR(A612))</f>
        <v/>
      </c>
      <c r="M612" s="9" t="str">
        <f aca="false">IF(B612="","",B612&amp;"|"&amp;COUNTIF(B$2:B612,B612))</f>
        <v/>
      </c>
    </row>
    <row r="613" customFormat="false" ht="15" hidden="false" customHeight="false" outlineLevel="0" collapsed="false">
      <c r="A613" s="5"/>
      <c r="B613" s="6"/>
      <c r="C613" s="6"/>
      <c r="D613" s="6"/>
      <c r="E613" s="7" t="str">
        <f aca="false">IF(D613="","",IFERROR(INDEX(Товары!$B$2:$B$200,MATCH(D613,Товары!$A$2:$A$200,0)),"нет в справочнике"))</f>
        <v/>
      </c>
      <c r="F613" s="6"/>
      <c r="G613" s="8" t="str">
        <f aca="false">IF(D613="","",IFERROR(INDEX(Товары!$C$2:$C$200,MATCH(D613,Товары!$A$2:$A$200,0)),0))</f>
        <v/>
      </c>
      <c r="H613" s="8" t="str">
        <f aca="false">IF(D613="","",F613*G613)</f>
        <v/>
      </c>
      <c r="I613" s="8" t="str">
        <f aca="false">IF(D613="","",F613*IFERROR(INDEX(Товары!$D$2:$D$200,MATCH(D613,Товары!$A$2:$A$200,0)),0))</f>
        <v/>
      </c>
      <c r="J613" s="8" t="str">
        <f aca="false">IF(D613="","",H613-I613)</f>
        <v/>
      </c>
      <c r="K613" s="7" t="str">
        <f aca="false">IF(A613="","",MONTH(A613))</f>
        <v/>
      </c>
      <c r="L613" s="7" t="str">
        <f aca="false">IF(A613="","",YEAR(A613))</f>
        <v/>
      </c>
      <c r="M613" s="9" t="str">
        <f aca="false">IF(B613="","",B613&amp;"|"&amp;COUNTIF(B$2:B613,B613))</f>
        <v/>
      </c>
    </row>
    <row r="614" customFormat="false" ht="15" hidden="false" customHeight="false" outlineLevel="0" collapsed="false">
      <c r="A614" s="5"/>
      <c r="B614" s="6"/>
      <c r="C614" s="6"/>
      <c r="D614" s="6"/>
      <c r="E614" s="7" t="str">
        <f aca="false">IF(D614="","",IFERROR(INDEX(Товары!$B$2:$B$200,MATCH(D614,Товары!$A$2:$A$200,0)),"нет в справочнике"))</f>
        <v/>
      </c>
      <c r="F614" s="6"/>
      <c r="G614" s="8" t="str">
        <f aca="false">IF(D614="","",IFERROR(INDEX(Товары!$C$2:$C$200,MATCH(D614,Товары!$A$2:$A$200,0)),0))</f>
        <v/>
      </c>
      <c r="H614" s="8" t="str">
        <f aca="false">IF(D614="","",F614*G614)</f>
        <v/>
      </c>
      <c r="I614" s="8" t="str">
        <f aca="false">IF(D614="","",F614*IFERROR(INDEX(Товары!$D$2:$D$200,MATCH(D614,Товары!$A$2:$A$200,0)),0))</f>
        <v/>
      </c>
      <c r="J614" s="8" t="str">
        <f aca="false">IF(D614="","",H614-I614)</f>
        <v/>
      </c>
      <c r="K614" s="7" t="str">
        <f aca="false">IF(A614="","",MONTH(A614))</f>
        <v/>
      </c>
      <c r="L614" s="7" t="str">
        <f aca="false">IF(A614="","",YEAR(A614))</f>
        <v/>
      </c>
      <c r="M614" s="9" t="str">
        <f aca="false">IF(B614="","",B614&amp;"|"&amp;COUNTIF(B$2:B614,B614))</f>
        <v/>
      </c>
    </row>
    <row r="615" customFormat="false" ht="15" hidden="false" customHeight="false" outlineLevel="0" collapsed="false">
      <c r="A615" s="5"/>
      <c r="B615" s="6"/>
      <c r="C615" s="6"/>
      <c r="D615" s="6"/>
      <c r="E615" s="7" t="str">
        <f aca="false">IF(D615="","",IFERROR(INDEX(Товары!$B$2:$B$200,MATCH(D615,Товары!$A$2:$A$200,0)),"нет в справочнике"))</f>
        <v/>
      </c>
      <c r="F615" s="6"/>
      <c r="G615" s="8" t="str">
        <f aca="false">IF(D615="","",IFERROR(INDEX(Товары!$C$2:$C$200,MATCH(D615,Товары!$A$2:$A$200,0)),0))</f>
        <v/>
      </c>
      <c r="H615" s="8" t="str">
        <f aca="false">IF(D615="","",F615*G615)</f>
        <v/>
      </c>
      <c r="I615" s="8" t="str">
        <f aca="false">IF(D615="","",F615*IFERROR(INDEX(Товары!$D$2:$D$200,MATCH(D615,Товары!$A$2:$A$200,0)),0))</f>
        <v/>
      </c>
      <c r="J615" s="8" t="str">
        <f aca="false">IF(D615="","",H615-I615)</f>
        <v/>
      </c>
      <c r="K615" s="7" t="str">
        <f aca="false">IF(A615="","",MONTH(A615))</f>
        <v/>
      </c>
      <c r="L615" s="7" t="str">
        <f aca="false">IF(A615="","",YEAR(A615))</f>
        <v/>
      </c>
      <c r="M615" s="9" t="str">
        <f aca="false">IF(B615="","",B615&amp;"|"&amp;COUNTIF(B$2:B615,B615))</f>
        <v/>
      </c>
    </row>
    <row r="616" customFormat="false" ht="15" hidden="false" customHeight="false" outlineLevel="0" collapsed="false">
      <c r="A616" s="5"/>
      <c r="B616" s="6"/>
      <c r="C616" s="6"/>
      <c r="D616" s="6"/>
      <c r="E616" s="7" t="str">
        <f aca="false">IF(D616="","",IFERROR(INDEX(Товары!$B$2:$B$200,MATCH(D616,Товары!$A$2:$A$200,0)),"нет в справочнике"))</f>
        <v/>
      </c>
      <c r="F616" s="6"/>
      <c r="G616" s="8" t="str">
        <f aca="false">IF(D616="","",IFERROR(INDEX(Товары!$C$2:$C$200,MATCH(D616,Товары!$A$2:$A$200,0)),0))</f>
        <v/>
      </c>
      <c r="H616" s="8" t="str">
        <f aca="false">IF(D616="","",F616*G616)</f>
        <v/>
      </c>
      <c r="I616" s="8" t="str">
        <f aca="false">IF(D616="","",F616*IFERROR(INDEX(Товары!$D$2:$D$200,MATCH(D616,Товары!$A$2:$A$200,0)),0))</f>
        <v/>
      </c>
      <c r="J616" s="8" t="str">
        <f aca="false">IF(D616="","",H616-I616)</f>
        <v/>
      </c>
      <c r="K616" s="7" t="str">
        <f aca="false">IF(A616="","",MONTH(A616))</f>
        <v/>
      </c>
      <c r="L616" s="7" t="str">
        <f aca="false">IF(A616="","",YEAR(A616))</f>
        <v/>
      </c>
      <c r="M616" s="9" t="str">
        <f aca="false">IF(B616="","",B616&amp;"|"&amp;COUNTIF(B$2:B616,B616))</f>
        <v/>
      </c>
    </row>
    <row r="617" customFormat="false" ht="15" hidden="false" customHeight="false" outlineLevel="0" collapsed="false">
      <c r="A617" s="5"/>
      <c r="B617" s="6"/>
      <c r="C617" s="6"/>
      <c r="D617" s="6"/>
      <c r="E617" s="7" t="str">
        <f aca="false">IF(D617="","",IFERROR(INDEX(Товары!$B$2:$B$200,MATCH(D617,Товары!$A$2:$A$200,0)),"нет в справочнике"))</f>
        <v/>
      </c>
      <c r="F617" s="6"/>
      <c r="G617" s="8" t="str">
        <f aca="false">IF(D617="","",IFERROR(INDEX(Товары!$C$2:$C$200,MATCH(D617,Товары!$A$2:$A$200,0)),0))</f>
        <v/>
      </c>
      <c r="H617" s="8" t="str">
        <f aca="false">IF(D617="","",F617*G617)</f>
        <v/>
      </c>
      <c r="I617" s="8" t="str">
        <f aca="false">IF(D617="","",F617*IFERROR(INDEX(Товары!$D$2:$D$200,MATCH(D617,Товары!$A$2:$A$200,0)),0))</f>
        <v/>
      </c>
      <c r="J617" s="8" t="str">
        <f aca="false">IF(D617="","",H617-I617)</f>
        <v/>
      </c>
      <c r="K617" s="7" t="str">
        <f aca="false">IF(A617="","",MONTH(A617))</f>
        <v/>
      </c>
      <c r="L617" s="7" t="str">
        <f aca="false">IF(A617="","",YEAR(A617))</f>
        <v/>
      </c>
      <c r="M617" s="9" t="str">
        <f aca="false">IF(B617="","",B617&amp;"|"&amp;COUNTIF(B$2:B617,B617))</f>
        <v/>
      </c>
    </row>
    <row r="618" customFormat="false" ht="15" hidden="false" customHeight="false" outlineLevel="0" collapsed="false">
      <c r="A618" s="5"/>
      <c r="B618" s="6"/>
      <c r="C618" s="6"/>
      <c r="D618" s="6"/>
      <c r="E618" s="7" t="str">
        <f aca="false">IF(D618="","",IFERROR(INDEX(Товары!$B$2:$B$200,MATCH(D618,Товары!$A$2:$A$200,0)),"нет в справочнике"))</f>
        <v/>
      </c>
      <c r="F618" s="6"/>
      <c r="G618" s="8" t="str">
        <f aca="false">IF(D618="","",IFERROR(INDEX(Товары!$C$2:$C$200,MATCH(D618,Товары!$A$2:$A$200,0)),0))</f>
        <v/>
      </c>
      <c r="H618" s="8" t="str">
        <f aca="false">IF(D618="","",F618*G618)</f>
        <v/>
      </c>
      <c r="I618" s="8" t="str">
        <f aca="false">IF(D618="","",F618*IFERROR(INDEX(Товары!$D$2:$D$200,MATCH(D618,Товары!$A$2:$A$200,0)),0))</f>
        <v/>
      </c>
      <c r="J618" s="8" t="str">
        <f aca="false">IF(D618="","",H618-I618)</f>
        <v/>
      </c>
      <c r="K618" s="7" t="str">
        <f aca="false">IF(A618="","",MONTH(A618))</f>
        <v/>
      </c>
      <c r="L618" s="7" t="str">
        <f aca="false">IF(A618="","",YEAR(A618))</f>
        <v/>
      </c>
      <c r="M618" s="9" t="str">
        <f aca="false">IF(B618="","",B618&amp;"|"&amp;COUNTIF(B$2:B618,B618))</f>
        <v/>
      </c>
    </row>
    <row r="619" customFormat="false" ht="15" hidden="false" customHeight="false" outlineLevel="0" collapsed="false">
      <c r="A619" s="5"/>
      <c r="B619" s="6"/>
      <c r="C619" s="6"/>
      <c r="D619" s="6"/>
      <c r="E619" s="7" t="str">
        <f aca="false">IF(D619="","",IFERROR(INDEX(Товары!$B$2:$B$200,MATCH(D619,Товары!$A$2:$A$200,0)),"нет в справочнике"))</f>
        <v/>
      </c>
      <c r="F619" s="6"/>
      <c r="G619" s="8" t="str">
        <f aca="false">IF(D619="","",IFERROR(INDEX(Товары!$C$2:$C$200,MATCH(D619,Товары!$A$2:$A$200,0)),0))</f>
        <v/>
      </c>
      <c r="H619" s="8" t="str">
        <f aca="false">IF(D619="","",F619*G619)</f>
        <v/>
      </c>
      <c r="I619" s="8" t="str">
        <f aca="false">IF(D619="","",F619*IFERROR(INDEX(Товары!$D$2:$D$200,MATCH(D619,Товары!$A$2:$A$200,0)),0))</f>
        <v/>
      </c>
      <c r="J619" s="8" t="str">
        <f aca="false">IF(D619="","",H619-I619)</f>
        <v/>
      </c>
      <c r="K619" s="7" t="str">
        <f aca="false">IF(A619="","",MONTH(A619))</f>
        <v/>
      </c>
      <c r="L619" s="7" t="str">
        <f aca="false">IF(A619="","",YEAR(A619))</f>
        <v/>
      </c>
      <c r="M619" s="9" t="str">
        <f aca="false">IF(B619="","",B619&amp;"|"&amp;COUNTIF(B$2:B619,B619))</f>
        <v/>
      </c>
    </row>
    <row r="620" customFormat="false" ht="15" hidden="false" customHeight="false" outlineLevel="0" collapsed="false">
      <c r="A620" s="5"/>
      <c r="B620" s="6"/>
      <c r="C620" s="6"/>
      <c r="D620" s="6"/>
      <c r="E620" s="7" t="str">
        <f aca="false">IF(D620="","",IFERROR(INDEX(Товары!$B$2:$B$200,MATCH(D620,Товары!$A$2:$A$200,0)),"нет в справочнике"))</f>
        <v/>
      </c>
      <c r="F620" s="6"/>
      <c r="G620" s="8" t="str">
        <f aca="false">IF(D620="","",IFERROR(INDEX(Товары!$C$2:$C$200,MATCH(D620,Товары!$A$2:$A$200,0)),0))</f>
        <v/>
      </c>
      <c r="H620" s="8" t="str">
        <f aca="false">IF(D620="","",F620*G620)</f>
        <v/>
      </c>
      <c r="I620" s="8" t="str">
        <f aca="false">IF(D620="","",F620*IFERROR(INDEX(Товары!$D$2:$D$200,MATCH(D620,Товары!$A$2:$A$200,0)),0))</f>
        <v/>
      </c>
      <c r="J620" s="8" t="str">
        <f aca="false">IF(D620="","",H620-I620)</f>
        <v/>
      </c>
      <c r="K620" s="7" t="str">
        <f aca="false">IF(A620="","",MONTH(A620))</f>
        <v/>
      </c>
      <c r="L620" s="7" t="str">
        <f aca="false">IF(A620="","",YEAR(A620))</f>
        <v/>
      </c>
      <c r="M620" s="9" t="str">
        <f aca="false">IF(B620="","",B620&amp;"|"&amp;COUNTIF(B$2:B620,B620))</f>
        <v/>
      </c>
    </row>
    <row r="621" customFormat="false" ht="15" hidden="false" customHeight="false" outlineLevel="0" collapsed="false">
      <c r="A621" s="5"/>
      <c r="B621" s="6"/>
      <c r="C621" s="6"/>
      <c r="D621" s="6"/>
      <c r="E621" s="7" t="str">
        <f aca="false">IF(D621="","",IFERROR(INDEX(Товары!$B$2:$B$200,MATCH(D621,Товары!$A$2:$A$200,0)),"нет в справочнике"))</f>
        <v/>
      </c>
      <c r="F621" s="6"/>
      <c r="G621" s="8" t="str">
        <f aca="false">IF(D621="","",IFERROR(INDEX(Товары!$C$2:$C$200,MATCH(D621,Товары!$A$2:$A$200,0)),0))</f>
        <v/>
      </c>
      <c r="H621" s="8" t="str">
        <f aca="false">IF(D621="","",F621*G621)</f>
        <v/>
      </c>
      <c r="I621" s="8" t="str">
        <f aca="false">IF(D621="","",F621*IFERROR(INDEX(Товары!$D$2:$D$200,MATCH(D621,Товары!$A$2:$A$200,0)),0))</f>
        <v/>
      </c>
      <c r="J621" s="8" t="str">
        <f aca="false">IF(D621="","",H621-I621)</f>
        <v/>
      </c>
      <c r="K621" s="7" t="str">
        <f aca="false">IF(A621="","",MONTH(A621))</f>
        <v/>
      </c>
      <c r="L621" s="7" t="str">
        <f aca="false">IF(A621="","",YEAR(A621))</f>
        <v/>
      </c>
      <c r="M621" s="9" t="str">
        <f aca="false">IF(B621="","",B621&amp;"|"&amp;COUNTIF(B$2:B621,B621))</f>
        <v/>
      </c>
    </row>
    <row r="622" customFormat="false" ht="15" hidden="false" customHeight="false" outlineLevel="0" collapsed="false">
      <c r="A622" s="5"/>
      <c r="B622" s="6"/>
      <c r="C622" s="6"/>
      <c r="D622" s="6"/>
      <c r="E622" s="7" t="str">
        <f aca="false">IF(D622="","",IFERROR(INDEX(Товары!$B$2:$B$200,MATCH(D622,Товары!$A$2:$A$200,0)),"нет в справочнике"))</f>
        <v/>
      </c>
      <c r="F622" s="6"/>
      <c r="G622" s="8" t="str">
        <f aca="false">IF(D622="","",IFERROR(INDEX(Товары!$C$2:$C$200,MATCH(D622,Товары!$A$2:$A$200,0)),0))</f>
        <v/>
      </c>
      <c r="H622" s="8" t="str">
        <f aca="false">IF(D622="","",F622*G622)</f>
        <v/>
      </c>
      <c r="I622" s="8" t="str">
        <f aca="false">IF(D622="","",F622*IFERROR(INDEX(Товары!$D$2:$D$200,MATCH(D622,Товары!$A$2:$A$200,0)),0))</f>
        <v/>
      </c>
      <c r="J622" s="8" t="str">
        <f aca="false">IF(D622="","",H622-I622)</f>
        <v/>
      </c>
      <c r="K622" s="7" t="str">
        <f aca="false">IF(A622="","",MONTH(A622))</f>
        <v/>
      </c>
      <c r="L622" s="7" t="str">
        <f aca="false">IF(A622="","",YEAR(A622))</f>
        <v/>
      </c>
      <c r="M622" s="9" t="str">
        <f aca="false">IF(B622="","",B622&amp;"|"&amp;COUNTIF(B$2:B622,B622))</f>
        <v/>
      </c>
    </row>
    <row r="623" customFormat="false" ht="15" hidden="false" customHeight="false" outlineLevel="0" collapsed="false">
      <c r="A623" s="5"/>
      <c r="B623" s="6"/>
      <c r="C623" s="6"/>
      <c r="D623" s="6"/>
      <c r="E623" s="7" t="str">
        <f aca="false">IF(D623="","",IFERROR(INDEX(Товары!$B$2:$B$200,MATCH(D623,Товары!$A$2:$A$200,0)),"нет в справочнике"))</f>
        <v/>
      </c>
      <c r="F623" s="6"/>
      <c r="G623" s="8" t="str">
        <f aca="false">IF(D623="","",IFERROR(INDEX(Товары!$C$2:$C$200,MATCH(D623,Товары!$A$2:$A$200,0)),0))</f>
        <v/>
      </c>
      <c r="H623" s="8" t="str">
        <f aca="false">IF(D623="","",F623*G623)</f>
        <v/>
      </c>
      <c r="I623" s="8" t="str">
        <f aca="false">IF(D623="","",F623*IFERROR(INDEX(Товары!$D$2:$D$200,MATCH(D623,Товары!$A$2:$A$200,0)),0))</f>
        <v/>
      </c>
      <c r="J623" s="8" t="str">
        <f aca="false">IF(D623="","",H623-I623)</f>
        <v/>
      </c>
      <c r="K623" s="7" t="str">
        <f aca="false">IF(A623="","",MONTH(A623))</f>
        <v/>
      </c>
      <c r="L623" s="7" t="str">
        <f aca="false">IF(A623="","",YEAR(A623))</f>
        <v/>
      </c>
      <c r="M623" s="9" t="str">
        <f aca="false">IF(B623="","",B623&amp;"|"&amp;COUNTIF(B$2:B623,B623))</f>
        <v/>
      </c>
    </row>
    <row r="624" customFormat="false" ht="15" hidden="false" customHeight="false" outlineLevel="0" collapsed="false">
      <c r="A624" s="5"/>
      <c r="B624" s="6"/>
      <c r="C624" s="6"/>
      <c r="D624" s="6"/>
      <c r="E624" s="7" t="str">
        <f aca="false">IF(D624="","",IFERROR(INDEX(Товары!$B$2:$B$200,MATCH(D624,Товары!$A$2:$A$200,0)),"нет в справочнике"))</f>
        <v/>
      </c>
      <c r="F624" s="6"/>
      <c r="G624" s="8" t="str">
        <f aca="false">IF(D624="","",IFERROR(INDEX(Товары!$C$2:$C$200,MATCH(D624,Товары!$A$2:$A$200,0)),0))</f>
        <v/>
      </c>
      <c r="H624" s="8" t="str">
        <f aca="false">IF(D624="","",F624*G624)</f>
        <v/>
      </c>
      <c r="I624" s="8" t="str">
        <f aca="false">IF(D624="","",F624*IFERROR(INDEX(Товары!$D$2:$D$200,MATCH(D624,Товары!$A$2:$A$200,0)),0))</f>
        <v/>
      </c>
      <c r="J624" s="8" t="str">
        <f aca="false">IF(D624="","",H624-I624)</f>
        <v/>
      </c>
      <c r="K624" s="7" t="str">
        <f aca="false">IF(A624="","",MONTH(A624))</f>
        <v/>
      </c>
      <c r="L624" s="7" t="str">
        <f aca="false">IF(A624="","",YEAR(A624))</f>
        <v/>
      </c>
      <c r="M624" s="9" t="str">
        <f aca="false">IF(B624="","",B624&amp;"|"&amp;COUNTIF(B$2:B624,B624))</f>
        <v/>
      </c>
    </row>
    <row r="625" customFormat="false" ht="15" hidden="false" customHeight="false" outlineLevel="0" collapsed="false">
      <c r="A625" s="5"/>
      <c r="B625" s="6"/>
      <c r="C625" s="6"/>
      <c r="D625" s="6"/>
      <c r="E625" s="7" t="str">
        <f aca="false">IF(D625="","",IFERROR(INDEX(Товары!$B$2:$B$200,MATCH(D625,Товары!$A$2:$A$200,0)),"нет в справочнике"))</f>
        <v/>
      </c>
      <c r="F625" s="6"/>
      <c r="G625" s="8" t="str">
        <f aca="false">IF(D625="","",IFERROR(INDEX(Товары!$C$2:$C$200,MATCH(D625,Товары!$A$2:$A$200,0)),0))</f>
        <v/>
      </c>
      <c r="H625" s="8" t="str">
        <f aca="false">IF(D625="","",F625*G625)</f>
        <v/>
      </c>
      <c r="I625" s="8" t="str">
        <f aca="false">IF(D625="","",F625*IFERROR(INDEX(Товары!$D$2:$D$200,MATCH(D625,Товары!$A$2:$A$200,0)),0))</f>
        <v/>
      </c>
      <c r="J625" s="8" t="str">
        <f aca="false">IF(D625="","",H625-I625)</f>
        <v/>
      </c>
      <c r="K625" s="7" t="str">
        <f aca="false">IF(A625="","",MONTH(A625))</f>
        <v/>
      </c>
      <c r="L625" s="7" t="str">
        <f aca="false">IF(A625="","",YEAR(A625))</f>
        <v/>
      </c>
      <c r="M625" s="9" t="str">
        <f aca="false">IF(B625="","",B625&amp;"|"&amp;COUNTIF(B$2:B625,B625))</f>
        <v/>
      </c>
    </row>
    <row r="626" customFormat="false" ht="15" hidden="false" customHeight="false" outlineLevel="0" collapsed="false">
      <c r="A626" s="5"/>
      <c r="B626" s="6"/>
      <c r="C626" s="6"/>
      <c r="D626" s="6"/>
      <c r="E626" s="7" t="str">
        <f aca="false">IF(D626="","",IFERROR(INDEX(Товары!$B$2:$B$200,MATCH(D626,Товары!$A$2:$A$200,0)),"нет в справочнике"))</f>
        <v/>
      </c>
      <c r="F626" s="6"/>
      <c r="G626" s="8" t="str">
        <f aca="false">IF(D626="","",IFERROR(INDEX(Товары!$C$2:$C$200,MATCH(D626,Товары!$A$2:$A$200,0)),0))</f>
        <v/>
      </c>
      <c r="H626" s="8" t="str">
        <f aca="false">IF(D626="","",F626*G626)</f>
        <v/>
      </c>
      <c r="I626" s="8" t="str">
        <f aca="false">IF(D626="","",F626*IFERROR(INDEX(Товары!$D$2:$D$200,MATCH(D626,Товары!$A$2:$A$200,0)),0))</f>
        <v/>
      </c>
      <c r="J626" s="8" t="str">
        <f aca="false">IF(D626="","",H626-I626)</f>
        <v/>
      </c>
      <c r="K626" s="7" t="str">
        <f aca="false">IF(A626="","",MONTH(A626))</f>
        <v/>
      </c>
      <c r="L626" s="7" t="str">
        <f aca="false">IF(A626="","",YEAR(A626))</f>
        <v/>
      </c>
      <c r="M626" s="9" t="str">
        <f aca="false">IF(B626="","",B626&amp;"|"&amp;COUNTIF(B$2:B626,B626))</f>
        <v/>
      </c>
    </row>
    <row r="627" customFormat="false" ht="15" hidden="false" customHeight="false" outlineLevel="0" collapsed="false">
      <c r="A627" s="5"/>
      <c r="B627" s="6"/>
      <c r="C627" s="6"/>
      <c r="D627" s="6"/>
      <c r="E627" s="7" t="str">
        <f aca="false">IF(D627="","",IFERROR(INDEX(Товары!$B$2:$B$200,MATCH(D627,Товары!$A$2:$A$200,0)),"нет в справочнике"))</f>
        <v/>
      </c>
      <c r="F627" s="6"/>
      <c r="G627" s="8" t="str">
        <f aca="false">IF(D627="","",IFERROR(INDEX(Товары!$C$2:$C$200,MATCH(D627,Товары!$A$2:$A$200,0)),0))</f>
        <v/>
      </c>
      <c r="H627" s="8" t="str">
        <f aca="false">IF(D627="","",F627*G627)</f>
        <v/>
      </c>
      <c r="I627" s="8" t="str">
        <f aca="false">IF(D627="","",F627*IFERROR(INDEX(Товары!$D$2:$D$200,MATCH(D627,Товары!$A$2:$A$200,0)),0))</f>
        <v/>
      </c>
      <c r="J627" s="8" t="str">
        <f aca="false">IF(D627="","",H627-I627)</f>
        <v/>
      </c>
      <c r="K627" s="7" t="str">
        <f aca="false">IF(A627="","",MONTH(A627))</f>
        <v/>
      </c>
      <c r="L627" s="7" t="str">
        <f aca="false">IF(A627="","",YEAR(A627))</f>
        <v/>
      </c>
      <c r="M627" s="9" t="str">
        <f aca="false">IF(B627="","",B627&amp;"|"&amp;COUNTIF(B$2:B627,B627))</f>
        <v/>
      </c>
    </row>
    <row r="628" customFormat="false" ht="15" hidden="false" customHeight="false" outlineLevel="0" collapsed="false">
      <c r="A628" s="5"/>
      <c r="B628" s="6"/>
      <c r="C628" s="6"/>
      <c r="D628" s="6"/>
      <c r="E628" s="7" t="str">
        <f aca="false">IF(D628="","",IFERROR(INDEX(Товары!$B$2:$B$200,MATCH(D628,Товары!$A$2:$A$200,0)),"нет в справочнике"))</f>
        <v/>
      </c>
      <c r="F628" s="6"/>
      <c r="G628" s="8" t="str">
        <f aca="false">IF(D628="","",IFERROR(INDEX(Товары!$C$2:$C$200,MATCH(D628,Товары!$A$2:$A$200,0)),0))</f>
        <v/>
      </c>
      <c r="H628" s="8" t="str">
        <f aca="false">IF(D628="","",F628*G628)</f>
        <v/>
      </c>
      <c r="I628" s="8" t="str">
        <f aca="false">IF(D628="","",F628*IFERROR(INDEX(Товары!$D$2:$D$200,MATCH(D628,Товары!$A$2:$A$200,0)),0))</f>
        <v/>
      </c>
      <c r="J628" s="8" t="str">
        <f aca="false">IF(D628="","",H628-I628)</f>
        <v/>
      </c>
      <c r="K628" s="7" t="str">
        <f aca="false">IF(A628="","",MONTH(A628))</f>
        <v/>
      </c>
      <c r="L628" s="7" t="str">
        <f aca="false">IF(A628="","",YEAR(A628))</f>
        <v/>
      </c>
      <c r="M628" s="9" t="str">
        <f aca="false">IF(B628="","",B628&amp;"|"&amp;COUNTIF(B$2:B628,B628))</f>
        <v/>
      </c>
    </row>
    <row r="629" customFormat="false" ht="15" hidden="false" customHeight="false" outlineLevel="0" collapsed="false">
      <c r="A629" s="5"/>
      <c r="B629" s="6"/>
      <c r="C629" s="6"/>
      <c r="D629" s="6"/>
      <c r="E629" s="7" t="str">
        <f aca="false">IF(D629="","",IFERROR(INDEX(Товары!$B$2:$B$200,MATCH(D629,Товары!$A$2:$A$200,0)),"нет в справочнике"))</f>
        <v/>
      </c>
      <c r="F629" s="6"/>
      <c r="G629" s="8" t="str">
        <f aca="false">IF(D629="","",IFERROR(INDEX(Товары!$C$2:$C$200,MATCH(D629,Товары!$A$2:$A$200,0)),0))</f>
        <v/>
      </c>
      <c r="H629" s="8" t="str">
        <f aca="false">IF(D629="","",F629*G629)</f>
        <v/>
      </c>
      <c r="I629" s="8" t="str">
        <f aca="false">IF(D629="","",F629*IFERROR(INDEX(Товары!$D$2:$D$200,MATCH(D629,Товары!$A$2:$A$200,0)),0))</f>
        <v/>
      </c>
      <c r="J629" s="8" t="str">
        <f aca="false">IF(D629="","",H629-I629)</f>
        <v/>
      </c>
      <c r="K629" s="7" t="str">
        <f aca="false">IF(A629="","",MONTH(A629))</f>
        <v/>
      </c>
      <c r="L629" s="7" t="str">
        <f aca="false">IF(A629="","",YEAR(A629))</f>
        <v/>
      </c>
      <c r="M629" s="9" t="str">
        <f aca="false">IF(B629="","",B629&amp;"|"&amp;COUNTIF(B$2:B629,B629))</f>
        <v/>
      </c>
    </row>
    <row r="630" customFormat="false" ht="15" hidden="false" customHeight="false" outlineLevel="0" collapsed="false">
      <c r="A630" s="5"/>
      <c r="B630" s="6"/>
      <c r="C630" s="6"/>
      <c r="D630" s="6"/>
      <c r="E630" s="7" t="str">
        <f aca="false">IF(D630="","",IFERROR(INDEX(Товары!$B$2:$B$200,MATCH(D630,Товары!$A$2:$A$200,0)),"нет в справочнике"))</f>
        <v/>
      </c>
      <c r="F630" s="6"/>
      <c r="G630" s="8" t="str">
        <f aca="false">IF(D630="","",IFERROR(INDEX(Товары!$C$2:$C$200,MATCH(D630,Товары!$A$2:$A$200,0)),0))</f>
        <v/>
      </c>
      <c r="H630" s="8" t="str">
        <f aca="false">IF(D630="","",F630*G630)</f>
        <v/>
      </c>
      <c r="I630" s="8" t="str">
        <f aca="false">IF(D630="","",F630*IFERROR(INDEX(Товары!$D$2:$D$200,MATCH(D630,Товары!$A$2:$A$200,0)),0))</f>
        <v/>
      </c>
      <c r="J630" s="8" t="str">
        <f aca="false">IF(D630="","",H630-I630)</f>
        <v/>
      </c>
      <c r="K630" s="7" t="str">
        <f aca="false">IF(A630="","",MONTH(A630))</f>
        <v/>
      </c>
      <c r="L630" s="7" t="str">
        <f aca="false">IF(A630="","",YEAR(A630))</f>
        <v/>
      </c>
      <c r="M630" s="9" t="str">
        <f aca="false">IF(B630="","",B630&amp;"|"&amp;COUNTIF(B$2:B630,B630))</f>
        <v/>
      </c>
    </row>
    <row r="631" customFormat="false" ht="15" hidden="false" customHeight="false" outlineLevel="0" collapsed="false">
      <c r="A631" s="5"/>
      <c r="B631" s="6"/>
      <c r="C631" s="6"/>
      <c r="D631" s="6"/>
      <c r="E631" s="7" t="str">
        <f aca="false">IF(D631="","",IFERROR(INDEX(Товары!$B$2:$B$200,MATCH(D631,Товары!$A$2:$A$200,0)),"нет в справочнике"))</f>
        <v/>
      </c>
      <c r="F631" s="6"/>
      <c r="G631" s="8" t="str">
        <f aca="false">IF(D631="","",IFERROR(INDEX(Товары!$C$2:$C$200,MATCH(D631,Товары!$A$2:$A$200,0)),0))</f>
        <v/>
      </c>
      <c r="H631" s="8" t="str">
        <f aca="false">IF(D631="","",F631*G631)</f>
        <v/>
      </c>
      <c r="I631" s="8" t="str">
        <f aca="false">IF(D631="","",F631*IFERROR(INDEX(Товары!$D$2:$D$200,MATCH(D631,Товары!$A$2:$A$200,0)),0))</f>
        <v/>
      </c>
      <c r="J631" s="8" t="str">
        <f aca="false">IF(D631="","",H631-I631)</f>
        <v/>
      </c>
      <c r="K631" s="7" t="str">
        <f aca="false">IF(A631="","",MONTH(A631))</f>
        <v/>
      </c>
      <c r="L631" s="7" t="str">
        <f aca="false">IF(A631="","",YEAR(A631))</f>
        <v/>
      </c>
      <c r="M631" s="9" t="str">
        <f aca="false">IF(B631="","",B631&amp;"|"&amp;COUNTIF(B$2:B631,B631))</f>
        <v/>
      </c>
    </row>
    <row r="632" customFormat="false" ht="15" hidden="false" customHeight="false" outlineLevel="0" collapsed="false">
      <c r="A632" s="5"/>
      <c r="B632" s="6"/>
      <c r="C632" s="6"/>
      <c r="D632" s="6"/>
      <c r="E632" s="7" t="str">
        <f aca="false">IF(D632="","",IFERROR(INDEX(Товары!$B$2:$B$200,MATCH(D632,Товары!$A$2:$A$200,0)),"нет в справочнике"))</f>
        <v/>
      </c>
      <c r="F632" s="6"/>
      <c r="G632" s="8" t="str">
        <f aca="false">IF(D632="","",IFERROR(INDEX(Товары!$C$2:$C$200,MATCH(D632,Товары!$A$2:$A$200,0)),0))</f>
        <v/>
      </c>
      <c r="H632" s="8" t="str">
        <f aca="false">IF(D632="","",F632*G632)</f>
        <v/>
      </c>
      <c r="I632" s="8" t="str">
        <f aca="false">IF(D632="","",F632*IFERROR(INDEX(Товары!$D$2:$D$200,MATCH(D632,Товары!$A$2:$A$200,0)),0))</f>
        <v/>
      </c>
      <c r="J632" s="8" t="str">
        <f aca="false">IF(D632="","",H632-I632)</f>
        <v/>
      </c>
      <c r="K632" s="7" t="str">
        <f aca="false">IF(A632="","",MONTH(A632))</f>
        <v/>
      </c>
      <c r="L632" s="7" t="str">
        <f aca="false">IF(A632="","",YEAR(A632))</f>
        <v/>
      </c>
      <c r="M632" s="9" t="str">
        <f aca="false">IF(B632="","",B632&amp;"|"&amp;COUNTIF(B$2:B632,B632))</f>
        <v/>
      </c>
    </row>
    <row r="633" customFormat="false" ht="15" hidden="false" customHeight="false" outlineLevel="0" collapsed="false">
      <c r="A633" s="5"/>
      <c r="B633" s="6"/>
      <c r="C633" s="6"/>
      <c r="D633" s="6"/>
      <c r="E633" s="7" t="str">
        <f aca="false">IF(D633="","",IFERROR(INDEX(Товары!$B$2:$B$200,MATCH(D633,Товары!$A$2:$A$200,0)),"нет в справочнике"))</f>
        <v/>
      </c>
      <c r="F633" s="6"/>
      <c r="G633" s="8" t="str">
        <f aca="false">IF(D633="","",IFERROR(INDEX(Товары!$C$2:$C$200,MATCH(D633,Товары!$A$2:$A$200,0)),0))</f>
        <v/>
      </c>
      <c r="H633" s="8" t="str">
        <f aca="false">IF(D633="","",F633*G633)</f>
        <v/>
      </c>
      <c r="I633" s="8" t="str">
        <f aca="false">IF(D633="","",F633*IFERROR(INDEX(Товары!$D$2:$D$200,MATCH(D633,Товары!$A$2:$A$200,0)),0))</f>
        <v/>
      </c>
      <c r="J633" s="8" t="str">
        <f aca="false">IF(D633="","",H633-I633)</f>
        <v/>
      </c>
      <c r="K633" s="7" t="str">
        <f aca="false">IF(A633="","",MONTH(A633))</f>
        <v/>
      </c>
      <c r="L633" s="7" t="str">
        <f aca="false">IF(A633="","",YEAR(A633))</f>
        <v/>
      </c>
      <c r="M633" s="9" t="str">
        <f aca="false">IF(B633="","",B633&amp;"|"&amp;COUNTIF(B$2:B633,B633))</f>
        <v/>
      </c>
    </row>
    <row r="634" customFormat="false" ht="15" hidden="false" customHeight="false" outlineLevel="0" collapsed="false">
      <c r="A634" s="5"/>
      <c r="B634" s="6"/>
      <c r="C634" s="6"/>
      <c r="D634" s="6"/>
      <c r="E634" s="7" t="str">
        <f aca="false">IF(D634="","",IFERROR(INDEX(Товары!$B$2:$B$200,MATCH(D634,Товары!$A$2:$A$200,0)),"нет в справочнике"))</f>
        <v/>
      </c>
      <c r="F634" s="6"/>
      <c r="G634" s="8" t="str">
        <f aca="false">IF(D634="","",IFERROR(INDEX(Товары!$C$2:$C$200,MATCH(D634,Товары!$A$2:$A$200,0)),0))</f>
        <v/>
      </c>
      <c r="H634" s="8" t="str">
        <f aca="false">IF(D634="","",F634*G634)</f>
        <v/>
      </c>
      <c r="I634" s="8" t="str">
        <f aca="false">IF(D634="","",F634*IFERROR(INDEX(Товары!$D$2:$D$200,MATCH(D634,Товары!$A$2:$A$200,0)),0))</f>
        <v/>
      </c>
      <c r="J634" s="8" t="str">
        <f aca="false">IF(D634="","",H634-I634)</f>
        <v/>
      </c>
      <c r="K634" s="7" t="str">
        <f aca="false">IF(A634="","",MONTH(A634))</f>
        <v/>
      </c>
      <c r="L634" s="7" t="str">
        <f aca="false">IF(A634="","",YEAR(A634))</f>
        <v/>
      </c>
      <c r="M634" s="9" t="str">
        <f aca="false">IF(B634="","",B634&amp;"|"&amp;COUNTIF(B$2:B634,B634))</f>
        <v/>
      </c>
    </row>
    <row r="635" customFormat="false" ht="15" hidden="false" customHeight="false" outlineLevel="0" collapsed="false">
      <c r="A635" s="5"/>
      <c r="B635" s="6"/>
      <c r="C635" s="6"/>
      <c r="D635" s="6"/>
      <c r="E635" s="7" t="str">
        <f aca="false">IF(D635="","",IFERROR(INDEX(Товары!$B$2:$B$200,MATCH(D635,Товары!$A$2:$A$200,0)),"нет в справочнике"))</f>
        <v/>
      </c>
      <c r="F635" s="6"/>
      <c r="G635" s="8" t="str">
        <f aca="false">IF(D635="","",IFERROR(INDEX(Товары!$C$2:$C$200,MATCH(D635,Товары!$A$2:$A$200,0)),0))</f>
        <v/>
      </c>
      <c r="H635" s="8" t="str">
        <f aca="false">IF(D635="","",F635*G635)</f>
        <v/>
      </c>
      <c r="I635" s="8" t="str">
        <f aca="false">IF(D635="","",F635*IFERROR(INDEX(Товары!$D$2:$D$200,MATCH(D635,Товары!$A$2:$A$200,0)),0))</f>
        <v/>
      </c>
      <c r="J635" s="8" t="str">
        <f aca="false">IF(D635="","",H635-I635)</f>
        <v/>
      </c>
      <c r="K635" s="7" t="str">
        <f aca="false">IF(A635="","",MONTH(A635))</f>
        <v/>
      </c>
      <c r="L635" s="7" t="str">
        <f aca="false">IF(A635="","",YEAR(A635))</f>
        <v/>
      </c>
      <c r="M635" s="9" t="str">
        <f aca="false">IF(B635="","",B635&amp;"|"&amp;COUNTIF(B$2:B635,B635))</f>
        <v/>
      </c>
    </row>
    <row r="636" customFormat="false" ht="15" hidden="false" customHeight="false" outlineLevel="0" collapsed="false">
      <c r="A636" s="5"/>
      <c r="B636" s="6"/>
      <c r="C636" s="6"/>
      <c r="D636" s="6"/>
      <c r="E636" s="7" t="str">
        <f aca="false">IF(D636="","",IFERROR(INDEX(Товары!$B$2:$B$200,MATCH(D636,Товары!$A$2:$A$200,0)),"нет в справочнике"))</f>
        <v/>
      </c>
      <c r="F636" s="6"/>
      <c r="G636" s="8" t="str">
        <f aca="false">IF(D636="","",IFERROR(INDEX(Товары!$C$2:$C$200,MATCH(D636,Товары!$A$2:$A$200,0)),0))</f>
        <v/>
      </c>
      <c r="H636" s="8" t="str">
        <f aca="false">IF(D636="","",F636*G636)</f>
        <v/>
      </c>
      <c r="I636" s="8" t="str">
        <f aca="false">IF(D636="","",F636*IFERROR(INDEX(Товары!$D$2:$D$200,MATCH(D636,Товары!$A$2:$A$200,0)),0))</f>
        <v/>
      </c>
      <c r="J636" s="8" t="str">
        <f aca="false">IF(D636="","",H636-I636)</f>
        <v/>
      </c>
      <c r="K636" s="7" t="str">
        <f aca="false">IF(A636="","",MONTH(A636))</f>
        <v/>
      </c>
      <c r="L636" s="7" t="str">
        <f aca="false">IF(A636="","",YEAR(A636))</f>
        <v/>
      </c>
      <c r="M636" s="9" t="str">
        <f aca="false">IF(B636="","",B636&amp;"|"&amp;COUNTIF(B$2:B636,B636))</f>
        <v/>
      </c>
    </row>
    <row r="637" customFormat="false" ht="15" hidden="false" customHeight="false" outlineLevel="0" collapsed="false">
      <c r="A637" s="5"/>
      <c r="B637" s="6"/>
      <c r="C637" s="6"/>
      <c r="D637" s="6"/>
      <c r="E637" s="7" t="str">
        <f aca="false">IF(D637="","",IFERROR(INDEX(Товары!$B$2:$B$200,MATCH(D637,Товары!$A$2:$A$200,0)),"нет в справочнике"))</f>
        <v/>
      </c>
      <c r="F637" s="6"/>
      <c r="G637" s="8" t="str">
        <f aca="false">IF(D637="","",IFERROR(INDEX(Товары!$C$2:$C$200,MATCH(D637,Товары!$A$2:$A$200,0)),0))</f>
        <v/>
      </c>
      <c r="H637" s="8" t="str">
        <f aca="false">IF(D637="","",F637*G637)</f>
        <v/>
      </c>
      <c r="I637" s="8" t="str">
        <f aca="false">IF(D637="","",F637*IFERROR(INDEX(Товары!$D$2:$D$200,MATCH(D637,Товары!$A$2:$A$200,0)),0))</f>
        <v/>
      </c>
      <c r="J637" s="8" t="str">
        <f aca="false">IF(D637="","",H637-I637)</f>
        <v/>
      </c>
      <c r="K637" s="7" t="str">
        <f aca="false">IF(A637="","",MONTH(A637))</f>
        <v/>
      </c>
      <c r="L637" s="7" t="str">
        <f aca="false">IF(A637="","",YEAR(A637))</f>
        <v/>
      </c>
      <c r="M637" s="9" t="str">
        <f aca="false">IF(B637="","",B637&amp;"|"&amp;COUNTIF(B$2:B637,B637))</f>
        <v/>
      </c>
    </row>
    <row r="638" customFormat="false" ht="15" hidden="false" customHeight="false" outlineLevel="0" collapsed="false">
      <c r="A638" s="5"/>
      <c r="B638" s="6"/>
      <c r="C638" s="6"/>
      <c r="D638" s="6"/>
      <c r="E638" s="7" t="str">
        <f aca="false">IF(D638="","",IFERROR(INDEX(Товары!$B$2:$B$200,MATCH(D638,Товары!$A$2:$A$200,0)),"нет в справочнике"))</f>
        <v/>
      </c>
      <c r="F638" s="6"/>
      <c r="G638" s="8" t="str">
        <f aca="false">IF(D638="","",IFERROR(INDEX(Товары!$C$2:$C$200,MATCH(D638,Товары!$A$2:$A$200,0)),0))</f>
        <v/>
      </c>
      <c r="H638" s="8" t="str">
        <f aca="false">IF(D638="","",F638*G638)</f>
        <v/>
      </c>
      <c r="I638" s="8" t="str">
        <f aca="false">IF(D638="","",F638*IFERROR(INDEX(Товары!$D$2:$D$200,MATCH(D638,Товары!$A$2:$A$200,0)),0))</f>
        <v/>
      </c>
      <c r="J638" s="8" t="str">
        <f aca="false">IF(D638="","",H638-I638)</f>
        <v/>
      </c>
      <c r="K638" s="7" t="str">
        <f aca="false">IF(A638="","",MONTH(A638))</f>
        <v/>
      </c>
      <c r="L638" s="7" t="str">
        <f aca="false">IF(A638="","",YEAR(A638))</f>
        <v/>
      </c>
      <c r="M638" s="9" t="str">
        <f aca="false">IF(B638="","",B638&amp;"|"&amp;COUNTIF(B$2:B638,B638))</f>
        <v/>
      </c>
    </row>
    <row r="639" customFormat="false" ht="15" hidden="false" customHeight="false" outlineLevel="0" collapsed="false">
      <c r="A639" s="5"/>
      <c r="B639" s="6"/>
      <c r="C639" s="6"/>
      <c r="D639" s="6"/>
      <c r="E639" s="7" t="str">
        <f aca="false">IF(D639="","",IFERROR(INDEX(Товары!$B$2:$B$200,MATCH(D639,Товары!$A$2:$A$200,0)),"нет в справочнике"))</f>
        <v/>
      </c>
      <c r="F639" s="6"/>
      <c r="G639" s="8" t="str">
        <f aca="false">IF(D639="","",IFERROR(INDEX(Товары!$C$2:$C$200,MATCH(D639,Товары!$A$2:$A$200,0)),0))</f>
        <v/>
      </c>
      <c r="H639" s="8" t="str">
        <f aca="false">IF(D639="","",F639*G639)</f>
        <v/>
      </c>
      <c r="I639" s="8" t="str">
        <f aca="false">IF(D639="","",F639*IFERROR(INDEX(Товары!$D$2:$D$200,MATCH(D639,Товары!$A$2:$A$200,0)),0))</f>
        <v/>
      </c>
      <c r="J639" s="8" t="str">
        <f aca="false">IF(D639="","",H639-I639)</f>
        <v/>
      </c>
      <c r="K639" s="7" t="str">
        <f aca="false">IF(A639="","",MONTH(A639))</f>
        <v/>
      </c>
      <c r="L639" s="7" t="str">
        <f aca="false">IF(A639="","",YEAR(A639))</f>
        <v/>
      </c>
      <c r="M639" s="9" t="str">
        <f aca="false">IF(B639="","",B639&amp;"|"&amp;COUNTIF(B$2:B639,B639))</f>
        <v/>
      </c>
    </row>
    <row r="640" customFormat="false" ht="15" hidden="false" customHeight="false" outlineLevel="0" collapsed="false">
      <c r="A640" s="5"/>
      <c r="B640" s="6"/>
      <c r="C640" s="6"/>
      <c r="D640" s="6"/>
      <c r="E640" s="7" t="str">
        <f aca="false">IF(D640="","",IFERROR(INDEX(Товары!$B$2:$B$200,MATCH(D640,Товары!$A$2:$A$200,0)),"нет в справочнике"))</f>
        <v/>
      </c>
      <c r="F640" s="6"/>
      <c r="G640" s="8" t="str">
        <f aca="false">IF(D640="","",IFERROR(INDEX(Товары!$C$2:$C$200,MATCH(D640,Товары!$A$2:$A$200,0)),0))</f>
        <v/>
      </c>
      <c r="H640" s="8" t="str">
        <f aca="false">IF(D640="","",F640*G640)</f>
        <v/>
      </c>
      <c r="I640" s="8" t="str">
        <f aca="false">IF(D640="","",F640*IFERROR(INDEX(Товары!$D$2:$D$200,MATCH(D640,Товары!$A$2:$A$200,0)),0))</f>
        <v/>
      </c>
      <c r="J640" s="8" t="str">
        <f aca="false">IF(D640="","",H640-I640)</f>
        <v/>
      </c>
      <c r="K640" s="7" t="str">
        <f aca="false">IF(A640="","",MONTH(A640))</f>
        <v/>
      </c>
      <c r="L640" s="7" t="str">
        <f aca="false">IF(A640="","",YEAR(A640))</f>
        <v/>
      </c>
      <c r="M640" s="9" t="str">
        <f aca="false">IF(B640="","",B640&amp;"|"&amp;COUNTIF(B$2:B640,B640))</f>
        <v/>
      </c>
    </row>
    <row r="641" customFormat="false" ht="15" hidden="false" customHeight="false" outlineLevel="0" collapsed="false">
      <c r="A641" s="5"/>
      <c r="B641" s="6"/>
      <c r="C641" s="6"/>
      <c r="D641" s="6"/>
      <c r="E641" s="7" t="str">
        <f aca="false">IF(D641="","",IFERROR(INDEX(Товары!$B$2:$B$200,MATCH(D641,Товары!$A$2:$A$200,0)),"нет в справочнике"))</f>
        <v/>
      </c>
      <c r="F641" s="6"/>
      <c r="G641" s="8" t="str">
        <f aca="false">IF(D641="","",IFERROR(INDEX(Товары!$C$2:$C$200,MATCH(D641,Товары!$A$2:$A$200,0)),0))</f>
        <v/>
      </c>
      <c r="H641" s="8" t="str">
        <f aca="false">IF(D641="","",F641*G641)</f>
        <v/>
      </c>
      <c r="I641" s="8" t="str">
        <f aca="false">IF(D641="","",F641*IFERROR(INDEX(Товары!$D$2:$D$200,MATCH(D641,Товары!$A$2:$A$200,0)),0))</f>
        <v/>
      </c>
      <c r="J641" s="8" t="str">
        <f aca="false">IF(D641="","",H641-I641)</f>
        <v/>
      </c>
      <c r="K641" s="7" t="str">
        <f aca="false">IF(A641="","",MONTH(A641))</f>
        <v/>
      </c>
      <c r="L641" s="7" t="str">
        <f aca="false">IF(A641="","",YEAR(A641))</f>
        <v/>
      </c>
      <c r="M641" s="9" t="str">
        <f aca="false">IF(B641="","",B641&amp;"|"&amp;COUNTIF(B$2:B641,B641))</f>
        <v/>
      </c>
    </row>
    <row r="642" customFormat="false" ht="15" hidden="false" customHeight="false" outlineLevel="0" collapsed="false">
      <c r="A642" s="5"/>
      <c r="B642" s="6"/>
      <c r="C642" s="6"/>
      <c r="D642" s="6"/>
      <c r="E642" s="7" t="str">
        <f aca="false">IF(D642="","",IFERROR(INDEX(Товары!$B$2:$B$200,MATCH(D642,Товары!$A$2:$A$200,0)),"нет в справочнике"))</f>
        <v/>
      </c>
      <c r="F642" s="6"/>
      <c r="G642" s="8" t="str">
        <f aca="false">IF(D642="","",IFERROR(INDEX(Товары!$C$2:$C$200,MATCH(D642,Товары!$A$2:$A$200,0)),0))</f>
        <v/>
      </c>
      <c r="H642" s="8" t="str">
        <f aca="false">IF(D642="","",F642*G642)</f>
        <v/>
      </c>
      <c r="I642" s="8" t="str">
        <f aca="false">IF(D642="","",F642*IFERROR(INDEX(Товары!$D$2:$D$200,MATCH(D642,Товары!$A$2:$A$200,0)),0))</f>
        <v/>
      </c>
      <c r="J642" s="8" t="str">
        <f aca="false">IF(D642="","",H642-I642)</f>
        <v/>
      </c>
      <c r="K642" s="7" t="str">
        <f aca="false">IF(A642="","",MONTH(A642))</f>
        <v/>
      </c>
      <c r="L642" s="7" t="str">
        <f aca="false">IF(A642="","",YEAR(A642))</f>
        <v/>
      </c>
      <c r="M642" s="9" t="str">
        <f aca="false">IF(B642="","",B642&amp;"|"&amp;COUNTIF(B$2:B642,B642))</f>
        <v/>
      </c>
    </row>
    <row r="643" customFormat="false" ht="15" hidden="false" customHeight="false" outlineLevel="0" collapsed="false">
      <c r="A643" s="5"/>
      <c r="B643" s="6"/>
      <c r="C643" s="6"/>
      <c r="D643" s="6"/>
      <c r="E643" s="7" t="str">
        <f aca="false">IF(D643="","",IFERROR(INDEX(Товары!$B$2:$B$200,MATCH(D643,Товары!$A$2:$A$200,0)),"нет в справочнике"))</f>
        <v/>
      </c>
      <c r="F643" s="6"/>
      <c r="G643" s="8" t="str">
        <f aca="false">IF(D643="","",IFERROR(INDEX(Товары!$C$2:$C$200,MATCH(D643,Товары!$A$2:$A$200,0)),0))</f>
        <v/>
      </c>
      <c r="H643" s="8" t="str">
        <f aca="false">IF(D643="","",F643*G643)</f>
        <v/>
      </c>
      <c r="I643" s="8" t="str">
        <f aca="false">IF(D643="","",F643*IFERROR(INDEX(Товары!$D$2:$D$200,MATCH(D643,Товары!$A$2:$A$200,0)),0))</f>
        <v/>
      </c>
      <c r="J643" s="8" t="str">
        <f aca="false">IF(D643="","",H643-I643)</f>
        <v/>
      </c>
      <c r="K643" s="7" t="str">
        <f aca="false">IF(A643="","",MONTH(A643))</f>
        <v/>
      </c>
      <c r="L643" s="7" t="str">
        <f aca="false">IF(A643="","",YEAR(A643))</f>
        <v/>
      </c>
      <c r="M643" s="9" t="str">
        <f aca="false">IF(B643="","",B643&amp;"|"&amp;COUNTIF(B$2:B643,B643))</f>
        <v/>
      </c>
    </row>
    <row r="644" customFormat="false" ht="15" hidden="false" customHeight="false" outlineLevel="0" collapsed="false">
      <c r="A644" s="5"/>
      <c r="B644" s="6"/>
      <c r="C644" s="6"/>
      <c r="D644" s="6"/>
      <c r="E644" s="7" t="str">
        <f aca="false">IF(D644="","",IFERROR(INDEX(Товары!$B$2:$B$200,MATCH(D644,Товары!$A$2:$A$200,0)),"нет в справочнике"))</f>
        <v/>
      </c>
      <c r="F644" s="6"/>
      <c r="G644" s="8" t="str">
        <f aca="false">IF(D644="","",IFERROR(INDEX(Товары!$C$2:$C$200,MATCH(D644,Товары!$A$2:$A$200,0)),0))</f>
        <v/>
      </c>
      <c r="H644" s="8" t="str">
        <f aca="false">IF(D644="","",F644*G644)</f>
        <v/>
      </c>
      <c r="I644" s="8" t="str">
        <f aca="false">IF(D644="","",F644*IFERROR(INDEX(Товары!$D$2:$D$200,MATCH(D644,Товары!$A$2:$A$200,0)),0))</f>
        <v/>
      </c>
      <c r="J644" s="8" t="str">
        <f aca="false">IF(D644="","",H644-I644)</f>
        <v/>
      </c>
      <c r="K644" s="7" t="str">
        <f aca="false">IF(A644="","",MONTH(A644))</f>
        <v/>
      </c>
      <c r="L644" s="7" t="str">
        <f aca="false">IF(A644="","",YEAR(A644))</f>
        <v/>
      </c>
      <c r="M644" s="9" t="str">
        <f aca="false">IF(B644="","",B644&amp;"|"&amp;COUNTIF(B$2:B644,B644))</f>
        <v/>
      </c>
    </row>
    <row r="645" customFormat="false" ht="15" hidden="false" customHeight="false" outlineLevel="0" collapsed="false">
      <c r="A645" s="5"/>
      <c r="B645" s="6"/>
      <c r="C645" s="6"/>
      <c r="D645" s="6"/>
      <c r="E645" s="7" t="str">
        <f aca="false">IF(D645="","",IFERROR(INDEX(Товары!$B$2:$B$200,MATCH(D645,Товары!$A$2:$A$200,0)),"нет в справочнике"))</f>
        <v/>
      </c>
      <c r="F645" s="6"/>
      <c r="G645" s="8" t="str">
        <f aca="false">IF(D645="","",IFERROR(INDEX(Товары!$C$2:$C$200,MATCH(D645,Товары!$A$2:$A$200,0)),0))</f>
        <v/>
      </c>
      <c r="H645" s="8" t="str">
        <f aca="false">IF(D645="","",F645*G645)</f>
        <v/>
      </c>
      <c r="I645" s="8" t="str">
        <f aca="false">IF(D645="","",F645*IFERROR(INDEX(Товары!$D$2:$D$200,MATCH(D645,Товары!$A$2:$A$200,0)),0))</f>
        <v/>
      </c>
      <c r="J645" s="8" t="str">
        <f aca="false">IF(D645="","",H645-I645)</f>
        <v/>
      </c>
      <c r="K645" s="7" t="str">
        <f aca="false">IF(A645="","",MONTH(A645))</f>
        <v/>
      </c>
      <c r="L645" s="7" t="str">
        <f aca="false">IF(A645="","",YEAR(A645))</f>
        <v/>
      </c>
      <c r="M645" s="9" t="str">
        <f aca="false">IF(B645="","",B645&amp;"|"&amp;COUNTIF(B$2:B645,B645))</f>
        <v/>
      </c>
    </row>
    <row r="646" customFormat="false" ht="15" hidden="false" customHeight="false" outlineLevel="0" collapsed="false">
      <c r="A646" s="5"/>
      <c r="B646" s="6"/>
      <c r="C646" s="6"/>
      <c r="D646" s="6"/>
      <c r="E646" s="7" t="str">
        <f aca="false">IF(D646="","",IFERROR(INDEX(Товары!$B$2:$B$200,MATCH(D646,Товары!$A$2:$A$200,0)),"нет в справочнике"))</f>
        <v/>
      </c>
      <c r="F646" s="6"/>
      <c r="G646" s="8" t="str">
        <f aca="false">IF(D646="","",IFERROR(INDEX(Товары!$C$2:$C$200,MATCH(D646,Товары!$A$2:$A$200,0)),0))</f>
        <v/>
      </c>
      <c r="H646" s="8" t="str">
        <f aca="false">IF(D646="","",F646*G646)</f>
        <v/>
      </c>
      <c r="I646" s="8" t="str">
        <f aca="false">IF(D646="","",F646*IFERROR(INDEX(Товары!$D$2:$D$200,MATCH(D646,Товары!$A$2:$A$200,0)),0))</f>
        <v/>
      </c>
      <c r="J646" s="8" t="str">
        <f aca="false">IF(D646="","",H646-I646)</f>
        <v/>
      </c>
      <c r="K646" s="7" t="str">
        <f aca="false">IF(A646="","",MONTH(A646))</f>
        <v/>
      </c>
      <c r="L646" s="7" t="str">
        <f aca="false">IF(A646="","",YEAR(A646))</f>
        <v/>
      </c>
      <c r="M646" s="9" t="str">
        <f aca="false">IF(B646="","",B646&amp;"|"&amp;COUNTIF(B$2:B646,B646))</f>
        <v/>
      </c>
    </row>
    <row r="647" customFormat="false" ht="15" hidden="false" customHeight="false" outlineLevel="0" collapsed="false">
      <c r="A647" s="5"/>
      <c r="B647" s="6"/>
      <c r="C647" s="6"/>
      <c r="D647" s="6"/>
      <c r="E647" s="7" t="str">
        <f aca="false">IF(D647="","",IFERROR(INDEX(Товары!$B$2:$B$200,MATCH(D647,Товары!$A$2:$A$200,0)),"нет в справочнике"))</f>
        <v/>
      </c>
      <c r="F647" s="6"/>
      <c r="G647" s="8" t="str">
        <f aca="false">IF(D647="","",IFERROR(INDEX(Товары!$C$2:$C$200,MATCH(D647,Товары!$A$2:$A$200,0)),0))</f>
        <v/>
      </c>
      <c r="H647" s="8" t="str">
        <f aca="false">IF(D647="","",F647*G647)</f>
        <v/>
      </c>
      <c r="I647" s="8" t="str">
        <f aca="false">IF(D647="","",F647*IFERROR(INDEX(Товары!$D$2:$D$200,MATCH(D647,Товары!$A$2:$A$200,0)),0))</f>
        <v/>
      </c>
      <c r="J647" s="8" t="str">
        <f aca="false">IF(D647="","",H647-I647)</f>
        <v/>
      </c>
      <c r="K647" s="7" t="str">
        <f aca="false">IF(A647="","",MONTH(A647))</f>
        <v/>
      </c>
      <c r="L647" s="7" t="str">
        <f aca="false">IF(A647="","",YEAR(A647))</f>
        <v/>
      </c>
      <c r="M647" s="9" t="str">
        <f aca="false">IF(B647="","",B647&amp;"|"&amp;COUNTIF(B$2:B647,B647))</f>
        <v/>
      </c>
    </row>
    <row r="648" customFormat="false" ht="15" hidden="false" customHeight="false" outlineLevel="0" collapsed="false">
      <c r="A648" s="5"/>
      <c r="B648" s="6"/>
      <c r="C648" s="6"/>
      <c r="D648" s="6"/>
      <c r="E648" s="7" t="str">
        <f aca="false">IF(D648="","",IFERROR(INDEX(Товары!$B$2:$B$200,MATCH(D648,Товары!$A$2:$A$200,0)),"нет в справочнике"))</f>
        <v/>
      </c>
      <c r="F648" s="6"/>
      <c r="G648" s="8" t="str">
        <f aca="false">IF(D648="","",IFERROR(INDEX(Товары!$C$2:$C$200,MATCH(D648,Товары!$A$2:$A$200,0)),0))</f>
        <v/>
      </c>
      <c r="H648" s="8" t="str">
        <f aca="false">IF(D648="","",F648*G648)</f>
        <v/>
      </c>
      <c r="I648" s="8" t="str">
        <f aca="false">IF(D648="","",F648*IFERROR(INDEX(Товары!$D$2:$D$200,MATCH(D648,Товары!$A$2:$A$200,0)),0))</f>
        <v/>
      </c>
      <c r="J648" s="8" t="str">
        <f aca="false">IF(D648="","",H648-I648)</f>
        <v/>
      </c>
      <c r="K648" s="7" t="str">
        <f aca="false">IF(A648="","",MONTH(A648))</f>
        <v/>
      </c>
      <c r="L648" s="7" t="str">
        <f aca="false">IF(A648="","",YEAR(A648))</f>
        <v/>
      </c>
      <c r="M648" s="9" t="str">
        <f aca="false">IF(B648="","",B648&amp;"|"&amp;COUNTIF(B$2:B648,B648))</f>
        <v/>
      </c>
    </row>
    <row r="649" customFormat="false" ht="15" hidden="false" customHeight="false" outlineLevel="0" collapsed="false">
      <c r="A649" s="5"/>
      <c r="B649" s="6"/>
      <c r="C649" s="6"/>
      <c r="D649" s="6"/>
      <c r="E649" s="7" t="str">
        <f aca="false">IF(D649="","",IFERROR(INDEX(Товары!$B$2:$B$200,MATCH(D649,Товары!$A$2:$A$200,0)),"нет в справочнике"))</f>
        <v/>
      </c>
      <c r="F649" s="6"/>
      <c r="G649" s="8" t="str">
        <f aca="false">IF(D649="","",IFERROR(INDEX(Товары!$C$2:$C$200,MATCH(D649,Товары!$A$2:$A$200,0)),0))</f>
        <v/>
      </c>
      <c r="H649" s="8" t="str">
        <f aca="false">IF(D649="","",F649*G649)</f>
        <v/>
      </c>
      <c r="I649" s="8" t="str">
        <f aca="false">IF(D649="","",F649*IFERROR(INDEX(Товары!$D$2:$D$200,MATCH(D649,Товары!$A$2:$A$200,0)),0))</f>
        <v/>
      </c>
      <c r="J649" s="8" t="str">
        <f aca="false">IF(D649="","",H649-I649)</f>
        <v/>
      </c>
      <c r="K649" s="7" t="str">
        <f aca="false">IF(A649="","",MONTH(A649))</f>
        <v/>
      </c>
      <c r="L649" s="7" t="str">
        <f aca="false">IF(A649="","",YEAR(A649))</f>
        <v/>
      </c>
      <c r="M649" s="9" t="str">
        <f aca="false">IF(B649="","",B649&amp;"|"&amp;COUNTIF(B$2:B649,B649))</f>
        <v/>
      </c>
    </row>
    <row r="650" customFormat="false" ht="15" hidden="false" customHeight="false" outlineLevel="0" collapsed="false">
      <c r="A650" s="5"/>
      <c r="B650" s="6"/>
      <c r="C650" s="6"/>
      <c r="D650" s="6"/>
      <c r="E650" s="7" t="str">
        <f aca="false">IF(D650="","",IFERROR(INDEX(Товары!$B$2:$B$200,MATCH(D650,Товары!$A$2:$A$200,0)),"нет в справочнике"))</f>
        <v/>
      </c>
      <c r="F650" s="6"/>
      <c r="G650" s="8" t="str">
        <f aca="false">IF(D650="","",IFERROR(INDEX(Товары!$C$2:$C$200,MATCH(D650,Товары!$A$2:$A$200,0)),0))</f>
        <v/>
      </c>
      <c r="H650" s="8" t="str">
        <f aca="false">IF(D650="","",F650*G650)</f>
        <v/>
      </c>
      <c r="I650" s="8" t="str">
        <f aca="false">IF(D650="","",F650*IFERROR(INDEX(Товары!$D$2:$D$200,MATCH(D650,Товары!$A$2:$A$200,0)),0))</f>
        <v/>
      </c>
      <c r="J650" s="8" t="str">
        <f aca="false">IF(D650="","",H650-I650)</f>
        <v/>
      </c>
      <c r="K650" s="7" t="str">
        <f aca="false">IF(A650="","",MONTH(A650))</f>
        <v/>
      </c>
      <c r="L650" s="7" t="str">
        <f aca="false">IF(A650="","",YEAR(A650))</f>
        <v/>
      </c>
      <c r="M650" s="9" t="str">
        <f aca="false">IF(B650="","",B650&amp;"|"&amp;COUNTIF(B$2:B650,B650))</f>
        <v/>
      </c>
    </row>
    <row r="651" customFormat="false" ht="15" hidden="false" customHeight="false" outlineLevel="0" collapsed="false">
      <c r="A651" s="5"/>
      <c r="B651" s="6"/>
      <c r="C651" s="6"/>
      <c r="D651" s="6"/>
      <c r="E651" s="7" t="str">
        <f aca="false">IF(D651="","",IFERROR(INDEX(Товары!$B$2:$B$200,MATCH(D651,Товары!$A$2:$A$200,0)),"нет в справочнике"))</f>
        <v/>
      </c>
      <c r="F651" s="6"/>
      <c r="G651" s="8" t="str">
        <f aca="false">IF(D651="","",IFERROR(INDEX(Товары!$C$2:$C$200,MATCH(D651,Товары!$A$2:$A$200,0)),0))</f>
        <v/>
      </c>
      <c r="H651" s="8" t="str">
        <f aca="false">IF(D651="","",F651*G651)</f>
        <v/>
      </c>
      <c r="I651" s="8" t="str">
        <f aca="false">IF(D651="","",F651*IFERROR(INDEX(Товары!$D$2:$D$200,MATCH(D651,Товары!$A$2:$A$200,0)),0))</f>
        <v/>
      </c>
      <c r="J651" s="8" t="str">
        <f aca="false">IF(D651="","",H651-I651)</f>
        <v/>
      </c>
      <c r="K651" s="7" t="str">
        <f aca="false">IF(A651="","",MONTH(A651))</f>
        <v/>
      </c>
      <c r="L651" s="7" t="str">
        <f aca="false">IF(A651="","",YEAR(A651))</f>
        <v/>
      </c>
      <c r="M651" s="9" t="str">
        <f aca="false">IF(B651="","",B651&amp;"|"&amp;COUNTIF(B$2:B651,B651))</f>
        <v/>
      </c>
    </row>
    <row r="652" customFormat="false" ht="15" hidden="false" customHeight="false" outlineLevel="0" collapsed="false">
      <c r="A652" s="5"/>
      <c r="B652" s="6"/>
      <c r="C652" s="6"/>
      <c r="D652" s="6"/>
      <c r="E652" s="7" t="str">
        <f aca="false">IF(D652="","",IFERROR(INDEX(Товары!$B$2:$B$200,MATCH(D652,Товары!$A$2:$A$200,0)),"нет в справочнике"))</f>
        <v/>
      </c>
      <c r="F652" s="6"/>
      <c r="G652" s="8" t="str">
        <f aca="false">IF(D652="","",IFERROR(INDEX(Товары!$C$2:$C$200,MATCH(D652,Товары!$A$2:$A$200,0)),0))</f>
        <v/>
      </c>
      <c r="H652" s="8" t="str">
        <f aca="false">IF(D652="","",F652*G652)</f>
        <v/>
      </c>
      <c r="I652" s="8" t="str">
        <f aca="false">IF(D652="","",F652*IFERROR(INDEX(Товары!$D$2:$D$200,MATCH(D652,Товары!$A$2:$A$200,0)),0))</f>
        <v/>
      </c>
      <c r="J652" s="8" t="str">
        <f aca="false">IF(D652="","",H652-I652)</f>
        <v/>
      </c>
      <c r="K652" s="7" t="str">
        <f aca="false">IF(A652="","",MONTH(A652))</f>
        <v/>
      </c>
      <c r="L652" s="7" t="str">
        <f aca="false">IF(A652="","",YEAR(A652))</f>
        <v/>
      </c>
      <c r="M652" s="9" t="str">
        <f aca="false">IF(B652="","",B652&amp;"|"&amp;COUNTIF(B$2:B652,B652))</f>
        <v/>
      </c>
    </row>
    <row r="653" customFormat="false" ht="15" hidden="false" customHeight="false" outlineLevel="0" collapsed="false">
      <c r="A653" s="5"/>
      <c r="B653" s="6"/>
      <c r="C653" s="6"/>
      <c r="D653" s="6"/>
      <c r="E653" s="7" t="str">
        <f aca="false">IF(D653="","",IFERROR(INDEX(Товары!$B$2:$B$200,MATCH(D653,Товары!$A$2:$A$200,0)),"нет в справочнике"))</f>
        <v/>
      </c>
      <c r="F653" s="6"/>
      <c r="G653" s="8" t="str">
        <f aca="false">IF(D653="","",IFERROR(INDEX(Товары!$C$2:$C$200,MATCH(D653,Товары!$A$2:$A$200,0)),0))</f>
        <v/>
      </c>
      <c r="H653" s="8" t="str">
        <f aca="false">IF(D653="","",F653*G653)</f>
        <v/>
      </c>
      <c r="I653" s="8" t="str">
        <f aca="false">IF(D653="","",F653*IFERROR(INDEX(Товары!$D$2:$D$200,MATCH(D653,Товары!$A$2:$A$200,0)),0))</f>
        <v/>
      </c>
      <c r="J653" s="8" t="str">
        <f aca="false">IF(D653="","",H653-I653)</f>
        <v/>
      </c>
      <c r="K653" s="7" t="str">
        <f aca="false">IF(A653="","",MONTH(A653))</f>
        <v/>
      </c>
      <c r="L653" s="7" t="str">
        <f aca="false">IF(A653="","",YEAR(A653))</f>
        <v/>
      </c>
      <c r="M653" s="9" t="str">
        <f aca="false">IF(B653="","",B653&amp;"|"&amp;COUNTIF(B$2:B653,B653))</f>
        <v/>
      </c>
    </row>
    <row r="654" customFormat="false" ht="15" hidden="false" customHeight="false" outlineLevel="0" collapsed="false">
      <c r="A654" s="5"/>
      <c r="B654" s="6"/>
      <c r="C654" s="6"/>
      <c r="D654" s="6"/>
      <c r="E654" s="7" t="str">
        <f aca="false">IF(D654="","",IFERROR(INDEX(Товары!$B$2:$B$200,MATCH(D654,Товары!$A$2:$A$200,0)),"нет в справочнике"))</f>
        <v/>
      </c>
      <c r="F654" s="6"/>
      <c r="G654" s="8" t="str">
        <f aca="false">IF(D654="","",IFERROR(INDEX(Товары!$C$2:$C$200,MATCH(D654,Товары!$A$2:$A$200,0)),0))</f>
        <v/>
      </c>
      <c r="H654" s="8" t="str">
        <f aca="false">IF(D654="","",F654*G654)</f>
        <v/>
      </c>
      <c r="I654" s="8" t="str">
        <f aca="false">IF(D654="","",F654*IFERROR(INDEX(Товары!$D$2:$D$200,MATCH(D654,Товары!$A$2:$A$200,0)),0))</f>
        <v/>
      </c>
      <c r="J654" s="8" t="str">
        <f aca="false">IF(D654="","",H654-I654)</f>
        <v/>
      </c>
      <c r="K654" s="7" t="str">
        <f aca="false">IF(A654="","",MONTH(A654))</f>
        <v/>
      </c>
      <c r="L654" s="7" t="str">
        <f aca="false">IF(A654="","",YEAR(A654))</f>
        <v/>
      </c>
      <c r="M654" s="9" t="str">
        <f aca="false">IF(B654="","",B654&amp;"|"&amp;COUNTIF(B$2:B654,B654))</f>
        <v/>
      </c>
    </row>
    <row r="655" customFormat="false" ht="15" hidden="false" customHeight="false" outlineLevel="0" collapsed="false">
      <c r="A655" s="5"/>
      <c r="B655" s="6"/>
      <c r="C655" s="6"/>
      <c r="D655" s="6"/>
      <c r="E655" s="7" t="str">
        <f aca="false">IF(D655="","",IFERROR(INDEX(Товары!$B$2:$B$200,MATCH(D655,Товары!$A$2:$A$200,0)),"нет в справочнике"))</f>
        <v/>
      </c>
      <c r="F655" s="6"/>
      <c r="G655" s="8" t="str">
        <f aca="false">IF(D655="","",IFERROR(INDEX(Товары!$C$2:$C$200,MATCH(D655,Товары!$A$2:$A$200,0)),0))</f>
        <v/>
      </c>
      <c r="H655" s="8" t="str">
        <f aca="false">IF(D655="","",F655*G655)</f>
        <v/>
      </c>
      <c r="I655" s="8" t="str">
        <f aca="false">IF(D655="","",F655*IFERROR(INDEX(Товары!$D$2:$D$200,MATCH(D655,Товары!$A$2:$A$200,0)),0))</f>
        <v/>
      </c>
      <c r="J655" s="8" t="str">
        <f aca="false">IF(D655="","",H655-I655)</f>
        <v/>
      </c>
      <c r="K655" s="7" t="str">
        <f aca="false">IF(A655="","",MONTH(A655))</f>
        <v/>
      </c>
      <c r="L655" s="7" t="str">
        <f aca="false">IF(A655="","",YEAR(A655))</f>
        <v/>
      </c>
      <c r="M655" s="9" t="str">
        <f aca="false">IF(B655="","",B655&amp;"|"&amp;COUNTIF(B$2:B655,B655))</f>
        <v/>
      </c>
    </row>
    <row r="656" customFormat="false" ht="15" hidden="false" customHeight="false" outlineLevel="0" collapsed="false">
      <c r="A656" s="5"/>
      <c r="B656" s="6"/>
      <c r="C656" s="6"/>
      <c r="D656" s="6"/>
      <c r="E656" s="7" t="str">
        <f aca="false">IF(D656="","",IFERROR(INDEX(Товары!$B$2:$B$200,MATCH(D656,Товары!$A$2:$A$200,0)),"нет в справочнике"))</f>
        <v/>
      </c>
      <c r="F656" s="6"/>
      <c r="G656" s="8" t="str">
        <f aca="false">IF(D656="","",IFERROR(INDEX(Товары!$C$2:$C$200,MATCH(D656,Товары!$A$2:$A$200,0)),0))</f>
        <v/>
      </c>
      <c r="H656" s="8" t="str">
        <f aca="false">IF(D656="","",F656*G656)</f>
        <v/>
      </c>
      <c r="I656" s="8" t="str">
        <f aca="false">IF(D656="","",F656*IFERROR(INDEX(Товары!$D$2:$D$200,MATCH(D656,Товары!$A$2:$A$200,0)),0))</f>
        <v/>
      </c>
      <c r="J656" s="8" t="str">
        <f aca="false">IF(D656="","",H656-I656)</f>
        <v/>
      </c>
      <c r="K656" s="7" t="str">
        <f aca="false">IF(A656="","",MONTH(A656))</f>
        <v/>
      </c>
      <c r="L656" s="7" t="str">
        <f aca="false">IF(A656="","",YEAR(A656))</f>
        <v/>
      </c>
      <c r="M656" s="9" t="str">
        <f aca="false">IF(B656="","",B656&amp;"|"&amp;COUNTIF(B$2:B656,B656))</f>
        <v/>
      </c>
    </row>
    <row r="657" customFormat="false" ht="15" hidden="false" customHeight="false" outlineLevel="0" collapsed="false">
      <c r="A657" s="5"/>
      <c r="B657" s="6"/>
      <c r="C657" s="6"/>
      <c r="D657" s="6"/>
      <c r="E657" s="7" t="str">
        <f aca="false">IF(D657="","",IFERROR(INDEX(Товары!$B$2:$B$200,MATCH(D657,Товары!$A$2:$A$200,0)),"нет в справочнике"))</f>
        <v/>
      </c>
      <c r="F657" s="6"/>
      <c r="G657" s="8" t="str">
        <f aca="false">IF(D657="","",IFERROR(INDEX(Товары!$C$2:$C$200,MATCH(D657,Товары!$A$2:$A$200,0)),0))</f>
        <v/>
      </c>
      <c r="H657" s="8" t="str">
        <f aca="false">IF(D657="","",F657*G657)</f>
        <v/>
      </c>
      <c r="I657" s="8" t="str">
        <f aca="false">IF(D657="","",F657*IFERROR(INDEX(Товары!$D$2:$D$200,MATCH(D657,Товары!$A$2:$A$200,0)),0))</f>
        <v/>
      </c>
      <c r="J657" s="8" t="str">
        <f aca="false">IF(D657="","",H657-I657)</f>
        <v/>
      </c>
      <c r="K657" s="7" t="str">
        <f aca="false">IF(A657="","",MONTH(A657))</f>
        <v/>
      </c>
      <c r="L657" s="7" t="str">
        <f aca="false">IF(A657="","",YEAR(A657))</f>
        <v/>
      </c>
      <c r="M657" s="9" t="str">
        <f aca="false">IF(B657="","",B657&amp;"|"&amp;COUNTIF(B$2:B657,B657))</f>
        <v/>
      </c>
    </row>
    <row r="658" customFormat="false" ht="15" hidden="false" customHeight="false" outlineLevel="0" collapsed="false">
      <c r="A658" s="5"/>
      <c r="B658" s="6"/>
      <c r="C658" s="6"/>
      <c r="D658" s="6"/>
      <c r="E658" s="7" t="str">
        <f aca="false">IF(D658="","",IFERROR(INDEX(Товары!$B$2:$B$200,MATCH(D658,Товары!$A$2:$A$200,0)),"нет в справочнике"))</f>
        <v/>
      </c>
      <c r="F658" s="6"/>
      <c r="G658" s="8" t="str">
        <f aca="false">IF(D658="","",IFERROR(INDEX(Товары!$C$2:$C$200,MATCH(D658,Товары!$A$2:$A$200,0)),0))</f>
        <v/>
      </c>
      <c r="H658" s="8" t="str">
        <f aca="false">IF(D658="","",F658*G658)</f>
        <v/>
      </c>
      <c r="I658" s="8" t="str">
        <f aca="false">IF(D658="","",F658*IFERROR(INDEX(Товары!$D$2:$D$200,MATCH(D658,Товары!$A$2:$A$200,0)),0))</f>
        <v/>
      </c>
      <c r="J658" s="8" t="str">
        <f aca="false">IF(D658="","",H658-I658)</f>
        <v/>
      </c>
      <c r="K658" s="7" t="str">
        <f aca="false">IF(A658="","",MONTH(A658))</f>
        <v/>
      </c>
      <c r="L658" s="7" t="str">
        <f aca="false">IF(A658="","",YEAR(A658))</f>
        <v/>
      </c>
      <c r="M658" s="9" t="str">
        <f aca="false">IF(B658="","",B658&amp;"|"&amp;COUNTIF(B$2:B658,B658))</f>
        <v/>
      </c>
    </row>
    <row r="659" customFormat="false" ht="15" hidden="false" customHeight="false" outlineLevel="0" collapsed="false">
      <c r="A659" s="5"/>
      <c r="B659" s="6"/>
      <c r="C659" s="6"/>
      <c r="D659" s="6"/>
      <c r="E659" s="7" t="str">
        <f aca="false">IF(D659="","",IFERROR(INDEX(Товары!$B$2:$B$200,MATCH(D659,Товары!$A$2:$A$200,0)),"нет в справочнике"))</f>
        <v/>
      </c>
      <c r="F659" s="6"/>
      <c r="G659" s="8" t="str">
        <f aca="false">IF(D659="","",IFERROR(INDEX(Товары!$C$2:$C$200,MATCH(D659,Товары!$A$2:$A$200,0)),0))</f>
        <v/>
      </c>
      <c r="H659" s="8" t="str">
        <f aca="false">IF(D659="","",F659*G659)</f>
        <v/>
      </c>
      <c r="I659" s="8" t="str">
        <f aca="false">IF(D659="","",F659*IFERROR(INDEX(Товары!$D$2:$D$200,MATCH(D659,Товары!$A$2:$A$200,0)),0))</f>
        <v/>
      </c>
      <c r="J659" s="8" t="str">
        <f aca="false">IF(D659="","",H659-I659)</f>
        <v/>
      </c>
      <c r="K659" s="7" t="str">
        <f aca="false">IF(A659="","",MONTH(A659))</f>
        <v/>
      </c>
      <c r="L659" s="7" t="str">
        <f aca="false">IF(A659="","",YEAR(A659))</f>
        <v/>
      </c>
      <c r="M659" s="9" t="str">
        <f aca="false">IF(B659="","",B659&amp;"|"&amp;COUNTIF(B$2:B659,B659))</f>
        <v/>
      </c>
    </row>
    <row r="660" customFormat="false" ht="15" hidden="false" customHeight="false" outlineLevel="0" collapsed="false">
      <c r="A660" s="5"/>
      <c r="B660" s="6"/>
      <c r="C660" s="6"/>
      <c r="D660" s="6"/>
      <c r="E660" s="7" t="str">
        <f aca="false">IF(D660="","",IFERROR(INDEX(Товары!$B$2:$B$200,MATCH(D660,Товары!$A$2:$A$200,0)),"нет в справочнике"))</f>
        <v/>
      </c>
      <c r="F660" s="6"/>
      <c r="G660" s="8" t="str">
        <f aca="false">IF(D660="","",IFERROR(INDEX(Товары!$C$2:$C$200,MATCH(D660,Товары!$A$2:$A$200,0)),0))</f>
        <v/>
      </c>
      <c r="H660" s="8" t="str">
        <f aca="false">IF(D660="","",F660*G660)</f>
        <v/>
      </c>
      <c r="I660" s="8" t="str">
        <f aca="false">IF(D660="","",F660*IFERROR(INDEX(Товары!$D$2:$D$200,MATCH(D660,Товары!$A$2:$A$200,0)),0))</f>
        <v/>
      </c>
      <c r="J660" s="8" t="str">
        <f aca="false">IF(D660="","",H660-I660)</f>
        <v/>
      </c>
      <c r="K660" s="7" t="str">
        <f aca="false">IF(A660="","",MONTH(A660))</f>
        <v/>
      </c>
      <c r="L660" s="7" t="str">
        <f aca="false">IF(A660="","",YEAR(A660))</f>
        <v/>
      </c>
      <c r="M660" s="9" t="str">
        <f aca="false">IF(B660="","",B660&amp;"|"&amp;COUNTIF(B$2:B660,B660))</f>
        <v/>
      </c>
    </row>
    <row r="661" customFormat="false" ht="15" hidden="false" customHeight="false" outlineLevel="0" collapsed="false">
      <c r="A661" s="5"/>
      <c r="B661" s="6"/>
      <c r="C661" s="6"/>
      <c r="D661" s="6"/>
      <c r="E661" s="7" t="str">
        <f aca="false">IF(D661="","",IFERROR(INDEX(Товары!$B$2:$B$200,MATCH(D661,Товары!$A$2:$A$200,0)),"нет в справочнике"))</f>
        <v/>
      </c>
      <c r="F661" s="6"/>
      <c r="G661" s="8" t="str">
        <f aca="false">IF(D661="","",IFERROR(INDEX(Товары!$C$2:$C$200,MATCH(D661,Товары!$A$2:$A$200,0)),0))</f>
        <v/>
      </c>
      <c r="H661" s="8" t="str">
        <f aca="false">IF(D661="","",F661*G661)</f>
        <v/>
      </c>
      <c r="I661" s="8" t="str">
        <f aca="false">IF(D661="","",F661*IFERROR(INDEX(Товары!$D$2:$D$200,MATCH(D661,Товары!$A$2:$A$200,0)),0))</f>
        <v/>
      </c>
      <c r="J661" s="8" t="str">
        <f aca="false">IF(D661="","",H661-I661)</f>
        <v/>
      </c>
      <c r="K661" s="7" t="str">
        <f aca="false">IF(A661="","",MONTH(A661))</f>
        <v/>
      </c>
      <c r="L661" s="7" t="str">
        <f aca="false">IF(A661="","",YEAR(A661))</f>
        <v/>
      </c>
      <c r="M661" s="9" t="str">
        <f aca="false">IF(B661="","",B661&amp;"|"&amp;COUNTIF(B$2:B661,B661))</f>
        <v/>
      </c>
    </row>
    <row r="662" customFormat="false" ht="15" hidden="false" customHeight="false" outlineLevel="0" collapsed="false">
      <c r="A662" s="5"/>
      <c r="B662" s="6"/>
      <c r="C662" s="6"/>
      <c r="D662" s="6"/>
      <c r="E662" s="7" t="str">
        <f aca="false">IF(D662="","",IFERROR(INDEX(Товары!$B$2:$B$200,MATCH(D662,Товары!$A$2:$A$200,0)),"нет в справочнике"))</f>
        <v/>
      </c>
      <c r="F662" s="6"/>
      <c r="G662" s="8" t="str">
        <f aca="false">IF(D662="","",IFERROR(INDEX(Товары!$C$2:$C$200,MATCH(D662,Товары!$A$2:$A$200,0)),0))</f>
        <v/>
      </c>
      <c r="H662" s="8" t="str">
        <f aca="false">IF(D662="","",F662*G662)</f>
        <v/>
      </c>
      <c r="I662" s="8" t="str">
        <f aca="false">IF(D662="","",F662*IFERROR(INDEX(Товары!$D$2:$D$200,MATCH(D662,Товары!$A$2:$A$200,0)),0))</f>
        <v/>
      </c>
      <c r="J662" s="8" t="str">
        <f aca="false">IF(D662="","",H662-I662)</f>
        <v/>
      </c>
      <c r="K662" s="7" t="str">
        <f aca="false">IF(A662="","",MONTH(A662))</f>
        <v/>
      </c>
      <c r="L662" s="7" t="str">
        <f aca="false">IF(A662="","",YEAR(A662))</f>
        <v/>
      </c>
      <c r="M662" s="9" t="str">
        <f aca="false">IF(B662="","",B662&amp;"|"&amp;COUNTIF(B$2:B662,B662))</f>
        <v/>
      </c>
    </row>
    <row r="663" customFormat="false" ht="15" hidden="false" customHeight="false" outlineLevel="0" collapsed="false">
      <c r="A663" s="5"/>
      <c r="B663" s="6"/>
      <c r="C663" s="6"/>
      <c r="D663" s="6"/>
      <c r="E663" s="7" t="str">
        <f aca="false">IF(D663="","",IFERROR(INDEX(Товары!$B$2:$B$200,MATCH(D663,Товары!$A$2:$A$200,0)),"нет в справочнике"))</f>
        <v/>
      </c>
      <c r="F663" s="6"/>
      <c r="G663" s="8" t="str">
        <f aca="false">IF(D663="","",IFERROR(INDEX(Товары!$C$2:$C$200,MATCH(D663,Товары!$A$2:$A$200,0)),0))</f>
        <v/>
      </c>
      <c r="H663" s="8" t="str">
        <f aca="false">IF(D663="","",F663*G663)</f>
        <v/>
      </c>
      <c r="I663" s="8" t="str">
        <f aca="false">IF(D663="","",F663*IFERROR(INDEX(Товары!$D$2:$D$200,MATCH(D663,Товары!$A$2:$A$200,0)),0))</f>
        <v/>
      </c>
      <c r="J663" s="8" t="str">
        <f aca="false">IF(D663="","",H663-I663)</f>
        <v/>
      </c>
      <c r="K663" s="7" t="str">
        <f aca="false">IF(A663="","",MONTH(A663))</f>
        <v/>
      </c>
      <c r="L663" s="7" t="str">
        <f aca="false">IF(A663="","",YEAR(A663))</f>
        <v/>
      </c>
      <c r="M663" s="9" t="str">
        <f aca="false">IF(B663="","",B663&amp;"|"&amp;COUNTIF(B$2:B663,B663))</f>
        <v/>
      </c>
    </row>
    <row r="664" customFormat="false" ht="15" hidden="false" customHeight="false" outlineLevel="0" collapsed="false">
      <c r="A664" s="5"/>
      <c r="B664" s="6"/>
      <c r="C664" s="6"/>
      <c r="D664" s="6"/>
      <c r="E664" s="7" t="str">
        <f aca="false">IF(D664="","",IFERROR(INDEX(Товары!$B$2:$B$200,MATCH(D664,Товары!$A$2:$A$200,0)),"нет в справочнике"))</f>
        <v/>
      </c>
      <c r="F664" s="6"/>
      <c r="G664" s="8" t="str">
        <f aca="false">IF(D664="","",IFERROR(INDEX(Товары!$C$2:$C$200,MATCH(D664,Товары!$A$2:$A$200,0)),0))</f>
        <v/>
      </c>
      <c r="H664" s="8" t="str">
        <f aca="false">IF(D664="","",F664*G664)</f>
        <v/>
      </c>
      <c r="I664" s="8" t="str">
        <f aca="false">IF(D664="","",F664*IFERROR(INDEX(Товары!$D$2:$D$200,MATCH(D664,Товары!$A$2:$A$200,0)),0))</f>
        <v/>
      </c>
      <c r="J664" s="8" t="str">
        <f aca="false">IF(D664="","",H664-I664)</f>
        <v/>
      </c>
      <c r="K664" s="7" t="str">
        <f aca="false">IF(A664="","",MONTH(A664))</f>
        <v/>
      </c>
      <c r="L664" s="7" t="str">
        <f aca="false">IF(A664="","",YEAR(A664))</f>
        <v/>
      </c>
      <c r="M664" s="9" t="str">
        <f aca="false">IF(B664="","",B664&amp;"|"&amp;COUNTIF(B$2:B664,B664))</f>
        <v/>
      </c>
    </row>
    <row r="665" customFormat="false" ht="15" hidden="false" customHeight="false" outlineLevel="0" collapsed="false">
      <c r="A665" s="5"/>
      <c r="B665" s="6"/>
      <c r="C665" s="6"/>
      <c r="D665" s="6"/>
      <c r="E665" s="7" t="str">
        <f aca="false">IF(D665="","",IFERROR(INDEX(Товары!$B$2:$B$200,MATCH(D665,Товары!$A$2:$A$200,0)),"нет в справочнике"))</f>
        <v/>
      </c>
      <c r="F665" s="6"/>
      <c r="G665" s="8" t="str">
        <f aca="false">IF(D665="","",IFERROR(INDEX(Товары!$C$2:$C$200,MATCH(D665,Товары!$A$2:$A$200,0)),0))</f>
        <v/>
      </c>
      <c r="H665" s="8" t="str">
        <f aca="false">IF(D665="","",F665*G665)</f>
        <v/>
      </c>
      <c r="I665" s="8" t="str">
        <f aca="false">IF(D665="","",F665*IFERROR(INDEX(Товары!$D$2:$D$200,MATCH(D665,Товары!$A$2:$A$200,0)),0))</f>
        <v/>
      </c>
      <c r="J665" s="8" t="str">
        <f aca="false">IF(D665="","",H665-I665)</f>
        <v/>
      </c>
      <c r="K665" s="7" t="str">
        <f aca="false">IF(A665="","",MONTH(A665))</f>
        <v/>
      </c>
      <c r="L665" s="7" t="str">
        <f aca="false">IF(A665="","",YEAR(A665))</f>
        <v/>
      </c>
      <c r="M665" s="9" t="str">
        <f aca="false">IF(B665="","",B665&amp;"|"&amp;COUNTIF(B$2:B665,B665))</f>
        <v/>
      </c>
    </row>
    <row r="666" customFormat="false" ht="15" hidden="false" customHeight="false" outlineLevel="0" collapsed="false">
      <c r="A666" s="5"/>
      <c r="B666" s="6"/>
      <c r="C666" s="6"/>
      <c r="D666" s="6"/>
      <c r="E666" s="7" t="str">
        <f aca="false">IF(D666="","",IFERROR(INDEX(Товары!$B$2:$B$200,MATCH(D666,Товары!$A$2:$A$200,0)),"нет в справочнике"))</f>
        <v/>
      </c>
      <c r="F666" s="6"/>
      <c r="G666" s="8" t="str">
        <f aca="false">IF(D666="","",IFERROR(INDEX(Товары!$C$2:$C$200,MATCH(D666,Товары!$A$2:$A$200,0)),0))</f>
        <v/>
      </c>
      <c r="H666" s="8" t="str">
        <f aca="false">IF(D666="","",F666*G666)</f>
        <v/>
      </c>
      <c r="I666" s="8" t="str">
        <f aca="false">IF(D666="","",F666*IFERROR(INDEX(Товары!$D$2:$D$200,MATCH(D666,Товары!$A$2:$A$200,0)),0))</f>
        <v/>
      </c>
      <c r="J666" s="8" t="str">
        <f aca="false">IF(D666="","",H666-I666)</f>
        <v/>
      </c>
      <c r="K666" s="7" t="str">
        <f aca="false">IF(A666="","",MONTH(A666))</f>
        <v/>
      </c>
      <c r="L666" s="7" t="str">
        <f aca="false">IF(A666="","",YEAR(A666))</f>
        <v/>
      </c>
      <c r="M666" s="9" t="str">
        <f aca="false">IF(B666="","",B666&amp;"|"&amp;COUNTIF(B$2:B666,B666))</f>
        <v/>
      </c>
    </row>
    <row r="667" customFormat="false" ht="15" hidden="false" customHeight="false" outlineLevel="0" collapsed="false">
      <c r="A667" s="5"/>
      <c r="B667" s="6"/>
      <c r="C667" s="6"/>
      <c r="D667" s="6"/>
      <c r="E667" s="7" t="str">
        <f aca="false">IF(D667="","",IFERROR(INDEX(Товары!$B$2:$B$200,MATCH(D667,Товары!$A$2:$A$200,0)),"нет в справочнике"))</f>
        <v/>
      </c>
      <c r="F667" s="6"/>
      <c r="G667" s="8" t="str">
        <f aca="false">IF(D667="","",IFERROR(INDEX(Товары!$C$2:$C$200,MATCH(D667,Товары!$A$2:$A$200,0)),0))</f>
        <v/>
      </c>
      <c r="H667" s="8" t="str">
        <f aca="false">IF(D667="","",F667*G667)</f>
        <v/>
      </c>
      <c r="I667" s="8" t="str">
        <f aca="false">IF(D667="","",F667*IFERROR(INDEX(Товары!$D$2:$D$200,MATCH(D667,Товары!$A$2:$A$200,0)),0))</f>
        <v/>
      </c>
      <c r="J667" s="8" t="str">
        <f aca="false">IF(D667="","",H667-I667)</f>
        <v/>
      </c>
      <c r="K667" s="7" t="str">
        <f aca="false">IF(A667="","",MONTH(A667))</f>
        <v/>
      </c>
      <c r="L667" s="7" t="str">
        <f aca="false">IF(A667="","",YEAR(A667))</f>
        <v/>
      </c>
      <c r="M667" s="9" t="str">
        <f aca="false">IF(B667="","",B667&amp;"|"&amp;COUNTIF(B$2:B667,B667))</f>
        <v/>
      </c>
    </row>
    <row r="668" customFormat="false" ht="15" hidden="false" customHeight="false" outlineLevel="0" collapsed="false">
      <c r="A668" s="5"/>
      <c r="B668" s="6"/>
      <c r="C668" s="6"/>
      <c r="D668" s="6"/>
      <c r="E668" s="7" t="str">
        <f aca="false">IF(D668="","",IFERROR(INDEX(Товары!$B$2:$B$200,MATCH(D668,Товары!$A$2:$A$200,0)),"нет в справочнике"))</f>
        <v/>
      </c>
      <c r="F668" s="6"/>
      <c r="G668" s="8" t="str">
        <f aca="false">IF(D668="","",IFERROR(INDEX(Товары!$C$2:$C$200,MATCH(D668,Товары!$A$2:$A$200,0)),0))</f>
        <v/>
      </c>
      <c r="H668" s="8" t="str">
        <f aca="false">IF(D668="","",F668*G668)</f>
        <v/>
      </c>
      <c r="I668" s="8" t="str">
        <f aca="false">IF(D668="","",F668*IFERROR(INDEX(Товары!$D$2:$D$200,MATCH(D668,Товары!$A$2:$A$200,0)),0))</f>
        <v/>
      </c>
      <c r="J668" s="8" t="str">
        <f aca="false">IF(D668="","",H668-I668)</f>
        <v/>
      </c>
      <c r="K668" s="7" t="str">
        <f aca="false">IF(A668="","",MONTH(A668))</f>
        <v/>
      </c>
      <c r="L668" s="7" t="str">
        <f aca="false">IF(A668="","",YEAR(A668))</f>
        <v/>
      </c>
      <c r="M668" s="9" t="str">
        <f aca="false">IF(B668="","",B668&amp;"|"&amp;COUNTIF(B$2:B668,B668))</f>
        <v/>
      </c>
    </row>
    <row r="669" customFormat="false" ht="15" hidden="false" customHeight="false" outlineLevel="0" collapsed="false">
      <c r="A669" s="5"/>
      <c r="B669" s="6"/>
      <c r="C669" s="6"/>
      <c r="D669" s="6"/>
      <c r="E669" s="7" t="str">
        <f aca="false">IF(D669="","",IFERROR(INDEX(Товары!$B$2:$B$200,MATCH(D669,Товары!$A$2:$A$200,0)),"нет в справочнике"))</f>
        <v/>
      </c>
      <c r="F669" s="6"/>
      <c r="G669" s="8" t="str">
        <f aca="false">IF(D669="","",IFERROR(INDEX(Товары!$C$2:$C$200,MATCH(D669,Товары!$A$2:$A$200,0)),0))</f>
        <v/>
      </c>
      <c r="H669" s="8" t="str">
        <f aca="false">IF(D669="","",F669*G669)</f>
        <v/>
      </c>
      <c r="I669" s="8" t="str">
        <f aca="false">IF(D669="","",F669*IFERROR(INDEX(Товары!$D$2:$D$200,MATCH(D669,Товары!$A$2:$A$200,0)),0))</f>
        <v/>
      </c>
      <c r="J669" s="8" t="str">
        <f aca="false">IF(D669="","",H669-I669)</f>
        <v/>
      </c>
      <c r="K669" s="7" t="str">
        <f aca="false">IF(A669="","",MONTH(A669))</f>
        <v/>
      </c>
      <c r="L669" s="7" t="str">
        <f aca="false">IF(A669="","",YEAR(A669))</f>
        <v/>
      </c>
      <c r="M669" s="9" t="str">
        <f aca="false">IF(B669="","",B669&amp;"|"&amp;COUNTIF(B$2:B669,B669))</f>
        <v/>
      </c>
    </row>
    <row r="670" customFormat="false" ht="15" hidden="false" customHeight="false" outlineLevel="0" collapsed="false">
      <c r="A670" s="5"/>
      <c r="B670" s="6"/>
      <c r="C670" s="6"/>
      <c r="D670" s="6"/>
      <c r="E670" s="7" t="str">
        <f aca="false">IF(D670="","",IFERROR(INDEX(Товары!$B$2:$B$200,MATCH(D670,Товары!$A$2:$A$200,0)),"нет в справочнике"))</f>
        <v/>
      </c>
      <c r="F670" s="6"/>
      <c r="G670" s="8" t="str">
        <f aca="false">IF(D670="","",IFERROR(INDEX(Товары!$C$2:$C$200,MATCH(D670,Товары!$A$2:$A$200,0)),0))</f>
        <v/>
      </c>
      <c r="H670" s="8" t="str">
        <f aca="false">IF(D670="","",F670*G670)</f>
        <v/>
      </c>
      <c r="I670" s="8" t="str">
        <f aca="false">IF(D670="","",F670*IFERROR(INDEX(Товары!$D$2:$D$200,MATCH(D670,Товары!$A$2:$A$200,0)),0))</f>
        <v/>
      </c>
      <c r="J670" s="8" t="str">
        <f aca="false">IF(D670="","",H670-I670)</f>
        <v/>
      </c>
      <c r="K670" s="7" t="str">
        <f aca="false">IF(A670="","",MONTH(A670))</f>
        <v/>
      </c>
      <c r="L670" s="7" t="str">
        <f aca="false">IF(A670="","",YEAR(A670))</f>
        <v/>
      </c>
      <c r="M670" s="9" t="str">
        <f aca="false">IF(B670="","",B670&amp;"|"&amp;COUNTIF(B$2:B670,B670))</f>
        <v/>
      </c>
    </row>
    <row r="671" customFormat="false" ht="15" hidden="false" customHeight="false" outlineLevel="0" collapsed="false">
      <c r="A671" s="5"/>
      <c r="B671" s="6"/>
      <c r="C671" s="6"/>
      <c r="D671" s="6"/>
      <c r="E671" s="7" t="str">
        <f aca="false">IF(D671="","",IFERROR(INDEX(Товары!$B$2:$B$200,MATCH(D671,Товары!$A$2:$A$200,0)),"нет в справочнике"))</f>
        <v/>
      </c>
      <c r="F671" s="6"/>
      <c r="G671" s="8" t="str">
        <f aca="false">IF(D671="","",IFERROR(INDEX(Товары!$C$2:$C$200,MATCH(D671,Товары!$A$2:$A$200,0)),0))</f>
        <v/>
      </c>
      <c r="H671" s="8" t="str">
        <f aca="false">IF(D671="","",F671*G671)</f>
        <v/>
      </c>
      <c r="I671" s="8" t="str">
        <f aca="false">IF(D671="","",F671*IFERROR(INDEX(Товары!$D$2:$D$200,MATCH(D671,Товары!$A$2:$A$200,0)),0))</f>
        <v/>
      </c>
      <c r="J671" s="8" t="str">
        <f aca="false">IF(D671="","",H671-I671)</f>
        <v/>
      </c>
      <c r="K671" s="7" t="str">
        <f aca="false">IF(A671="","",MONTH(A671))</f>
        <v/>
      </c>
      <c r="L671" s="7" t="str">
        <f aca="false">IF(A671="","",YEAR(A671))</f>
        <v/>
      </c>
      <c r="M671" s="9" t="str">
        <f aca="false">IF(B671="","",B671&amp;"|"&amp;COUNTIF(B$2:B671,B671))</f>
        <v/>
      </c>
    </row>
    <row r="672" customFormat="false" ht="15" hidden="false" customHeight="false" outlineLevel="0" collapsed="false">
      <c r="A672" s="5"/>
      <c r="B672" s="6"/>
      <c r="C672" s="6"/>
      <c r="D672" s="6"/>
      <c r="E672" s="7" t="str">
        <f aca="false">IF(D672="","",IFERROR(INDEX(Товары!$B$2:$B$200,MATCH(D672,Товары!$A$2:$A$200,0)),"нет в справочнике"))</f>
        <v/>
      </c>
      <c r="F672" s="6"/>
      <c r="G672" s="8" t="str">
        <f aca="false">IF(D672="","",IFERROR(INDEX(Товары!$C$2:$C$200,MATCH(D672,Товары!$A$2:$A$200,0)),0))</f>
        <v/>
      </c>
      <c r="H672" s="8" t="str">
        <f aca="false">IF(D672="","",F672*G672)</f>
        <v/>
      </c>
      <c r="I672" s="8" t="str">
        <f aca="false">IF(D672="","",F672*IFERROR(INDEX(Товары!$D$2:$D$200,MATCH(D672,Товары!$A$2:$A$200,0)),0))</f>
        <v/>
      </c>
      <c r="J672" s="8" t="str">
        <f aca="false">IF(D672="","",H672-I672)</f>
        <v/>
      </c>
      <c r="K672" s="7" t="str">
        <f aca="false">IF(A672="","",MONTH(A672))</f>
        <v/>
      </c>
      <c r="L672" s="7" t="str">
        <f aca="false">IF(A672="","",YEAR(A672))</f>
        <v/>
      </c>
      <c r="M672" s="9" t="str">
        <f aca="false">IF(B672="","",B672&amp;"|"&amp;COUNTIF(B$2:B672,B672))</f>
        <v/>
      </c>
    </row>
    <row r="673" customFormat="false" ht="15" hidden="false" customHeight="false" outlineLevel="0" collapsed="false">
      <c r="A673" s="5"/>
      <c r="B673" s="6"/>
      <c r="C673" s="6"/>
      <c r="D673" s="6"/>
      <c r="E673" s="7" t="str">
        <f aca="false">IF(D673="","",IFERROR(INDEX(Товары!$B$2:$B$200,MATCH(D673,Товары!$A$2:$A$200,0)),"нет в справочнике"))</f>
        <v/>
      </c>
      <c r="F673" s="6"/>
      <c r="G673" s="8" t="str">
        <f aca="false">IF(D673="","",IFERROR(INDEX(Товары!$C$2:$C$200,MATCH(D673,Товары!$A$2:$A$200,0)),0))</f>
        <v/>
      </c>
      <c r="H673" s="8" t="str">
        <f aca="false">IF(D673="","",F673*G673)</f>
        <v/>
      </c>
      <c r="I673" s="8" t="str">
        <f aca="false">IF(D673="","",F673*IFERROR(INDEX(Товары!$D$2:$D$200,MATCH(D673,Товары!$A$2:$A$200,0)),0))</f>
        <v/>
      </c>
      <c r="J673" s="8" t="str">
        <f aca="false">IF(D673="","",H673-I673)</f>
        <v/>
      </c>
      <c r="K673" s="7" t="str">
        <f aca="false">IF(A673="","",MONTH(A673))</f>
        <v/>
      </c>
      <c r="L673" s="7" t="str">
        <f aca="false">IF(A673="","",YEAR(A673))</f>
        <v/>
      </c>
      <c r="M673" s="9" t="str">
        <f aca="false">IF(B673="","",B673&amp;"|"&amp;COUNTIF(B$2:B673,B673))</f>
        <v/>
      </c>
    </row>
    <row r="674" customFormat="false" ht="15" hidden="false" customHeight="false" outlineLevel="0" collapsed="false">
      <c r="A674" s="5"/>
      <c r="B674" s="6"/>
      <c r="C674" s="6"/>
      <c r="D674" s="6"/>
      <c r="E674" s="7" t="str">
        <f aca="false">IF(D674="","",IFERROR(INDEX(Товары!$B$2:$B$200,MATCH(D674,Товары!$A$2:$A$200,0)),"нет в справочнике"))</f>
        <v/>
      </c>
      <c r="F674" s="6"/>
      <c r="G674" s="8" t="str">
        <f aca="false">IF(D674="","",IFERROR(INDEX(Товары!$C$2:$C$200,MATCH(D674,Товары!$A$2:$A$200,0)),0))</f>
        <v/>
      </c>
      <c r="H674" s="8" t="str">
        <f aca="false">IF(D674="","",F674*G674)</f>
        <v/>
      </c>
      <c r="I674" s="8" t="str">
        <f aca="false">IF(D674="","",F674*IFERROR(INDEX(Товары!$D$2:$D$200,MATCH(D674,Товары!$A$2:$A$200,0)),0))</f>
        <v/>
      </c>
      <c r="J674" s="8" t="str">
        <f aca="false">IF(D674="","",H674-I674)</f>
        <v/>
      </c>
      <c r="K674" s="7" t="str">
        <f aca="false">IF(A674="","",MONTH(A674))</f>
        <v/>
      </c>
      <c r="L674" s="7" t="str">
        <f aca="false">IF(A674="","",YEAR(A674))</f>
        <v/>
      </c>
      <c r="M674" s="9" t="str">
        <f aca="false">IF(B674="","",B674&amp;"|"&amp;COUNTIF(B$2:B674,B674))</f>
        <v/>
      </c>
    </row>
    <row r="675" customFormat="false" ht="15" hidden="false" customHeight="false" outlineLevel="0" collapsed="false">
      <c r="A675" s="5"/>
      <c r="B675" s="6"/>
      <c r="C675" s="6"/>
      <c r="D675" s="6"/>
      <c r="E675" s="7" t="str">
        <f aca="false">IF(D675="","",IFERROR(INDEX(Товары!$B$2:$B$200,MATCH(D675,Товары!$A$2:$A$200,0)),"нет в справочнике"))</f>
        <v/>
      </c>
      <c r="F675" s="6"/>
      <c r="G675" s="8" t="str">
        <f aca="false">IF(D675="","",IFERROR(INDEX(Товары!$C$2:$C$200,MATCH(D675,Товары!$A$2:$A$200,0)),0))</f>
        <v/>
      </c>
      <c r="H675" s="8" t="str">
        <f aca="false">IF(D675="","",F675*G675)</f>
        <v/>
      </c>
      <c r="I675" s="8" t="str">
        <f aca="false">IF(D675="","",F675*IFERROR(INDEX(Товары!$D$2:$D$200,MATCH(D675,Товары!$A$2:$A$200,0)),0))</f>
        <v/>
      </c>
      <c r="J675" s="8" t="str">
        <f aca="false">IF(D675="","",H675-I675)</f>
        <v/>
      </c>
      <c r="K675" s="7" t="str">
        <f aca="false">IF(A675="","",MONTH(A675))</f>
        <v/>
      </c>
      <c r="L675" s="7" t="str">
        <f aca="false">IF(A675="","",YEAR(A675))</f>
        <v/>
      </c>
      <c r="M675" s="9" t="str">
        <f aca="false">IF(B675="","",B675&amp;"|"&amp;COUNTIF(B$2:B675,B675))</f>
        <v/>
      </c>
    </row>
    <row r="676" customFormat="false" ht="15" hidden="false" customHeight="false" outlineLevel="0" collapsed="false">
      <c r="A676" s="5"/>
      <c r="B676" s="6"/>
      <c r="C676" s="6"/>
      <c r="D676" s="6"/>
      <c r="E676" s="7" t="str">
        <f aca="false">IF(D676="","",IFERROR(INDEX(Товары!$B$2:$B$200,MATCH(D676,Товары!$A$2:$A$200,0)),"нет в справочнике"))</f>
        <v/>
      </c>
      <c r="F676" s="6"/>
      <c r="G676" s="8" t="str">
        <f aca="false">IF(D676="","",IFERROR(INDEX(Товары!$C$2:$C$200,MATCH(D676,Товары!$A$2:$A$200,0)),0))</f>
        <v/>
      </c>
      <c r="H676" s="8" t="str">
        <f aca="false">IF(D676="","",F676*G676)</f>
        <v/>
      </c>
      <c r="I676" s="8" t="str">
        <f aca="false">IF(D676="","",F676*IFERROR(INDEX(Товары!$D$2:$D$200,MATCH(D676,Товары!$A$2:$A$200,0)),0))</f>
        <v/>
      </c>
      <c r="J676" s="8" t="str">
        <f aca="false">IF(D676="","",H676-I676)</f>
        <v/>
      </c>
      <c r="K676" s="7" t="str">
        <f aca="false">IF(A676="","",MONTH(A676))</f>
        <v/>
      </c>
      <c r="L676" s="7" t="str">
        <f aca="false">IF(A676="","",YEAR(A676))</f>
        <v/>
      </c>
      <c r="M676" s="9" t="str">
        <f aca="false">IF(B676="","",B676&amp;"|"&amp;COUNTIF(B$2:B676,B676))</f>
        <v/>
      </c>
    </row>
    <row r="677" customFormat="false" ht="15" hidden="false" customHeight="false" outlineLevel="0" collapsed="false">
      <c r="A677" s="5"/>
      <c r="B677" s="6"/>
      <c r="C677" s="6"/>
      <c r="D677" s="6"/>
      <c r="E677" s="7" t="str">
        <f aca="false">IF(D677="","",IFERROR(INDEX(Товары!$B$2:$B$200,MATCH(D677,Товары!$A$2:$A$200,0)),"нет в справочнике"))</f>
        <v/>
      </c>
      <c r="F677" s="6"/>
      <c r="G677" s="8" t="str">
        <f aca="false">IF(D677="","",IFERROR(INDEX(Товары!$C$2:$C$200,MATCH(D677,Товары!$A$2:$A$200,0)),0))</f>
        <v/>
      </c>
      <c r="H677" s="8" t="str">
        <f aca="false">IF(D677="","",F677*G677)</f>
        <v/>
      </c>
      <c r="I677" s="8" t="str">
        <f aca="false">IF(D677="","",F677*IFERROR(INDEX(Товары!$D$2:$D$200,MATCH(D677,Товары!$A$2:$A$200,0)),0))</f>
        <v/>
      </c>
      <c r="J677" s="8" t="str">
        <f aca="false">IF(D677="","",H677-I677)</f>
        <v/>
      </c>
      <c r="K677" s="7" t="str">
        <f aca="false">IF(A677="","",MONTH(A677))</f>
        <v/>
      </c>
      <c r="L677" s="7" t="str">
        <f aca="false">IF(A677="","",YEAR(A677))</f>
        <v/>
      </c>
      <c r="M677" s="9" t="str">
        <f aca="false">IF(B677="","",B677&amp;"|"&amp;COUNTIF(B$2:B677,B677))</f>
        <v/>
      </c>
    </row>
    <row r="678" customFormat="false" ht="15" hidden="false" customHeight="false" outlineLevel="0" collapsed="false">
      <c r="A678" s="5"/>
      <c r="B678" s="6"/>
      <c r="C678" s="6"/>
      <c r="D678" s="6"/>
      <c r="E678" s="7" t="str">
        <f aca="false">IF(D678="","",IFERROR(INDEX(Товары!$B$2:$B$200,MATCH(D678,Товары!$A$2:$A$200,0)),"нет в справочнике"))</f>
        <v/>
      </c>
      <c r="F678" s="6"/>
      <c r="G678" s="8" t="str">
        <f aca="false">IF(D678="","",IFERROR(INDEX(Товары!$C$2:$C$200,MATCH(D678,Товары!$A$2:$A$200,0)),0))</f>
        <v/>
      </c>
      <c r="H678" s="8" t="str">
        <f aca="false">IF(D678="","",F678*G678)</f>
        <v/>
      </c>
      <c r="I678" s="8" t="str">
        <f aca="false">IF(D678="","",F678*IFERROR(INDEX(Товары!$D$2:$D$200,MATCH(D678,Товары!$A$2:$A$200,0)),0))</f>
        <v/>
      </c>
      <c r="J678" s="8" t="str">
        <f aca="false">IF(D678="","",H678-I678)</f>
        <v/>
      </c>
      <c r="K678" s="7" t="str">
        <f aca="false">IF(A678="","",MONTH(A678))</f>
        <v/>
      </c>
      <c r="L678" s="7" t="str">
        <f aca="false">IF(A678="","",YEAR(A678))</f>
        <v/>
      </c>
      <c r="M678" s="9" t="str">
        <f aca="false">IF(B678="","",B678&amp;"|"&amp;COUNTIF(B$2:B678,B678))</f>
        <v/>
      </c>
    </row>
    <row r="679" customFormat="false" ht="15" hidden="false" customHeight="false" outlineLevel="0" collapsed="false">
      <c r="A679" s="5"/>
      <c r="B679" s="6"/>
      <c r="C679" s="6"/>
      <c r="D679" s="6"/>
      <c r="E679" s="7" t="str">
        <f aca="false">IF(D679="","",IFERROR(INDEX(Товары!$B$2:$B$200,MATCH(D679,Товары!$A$2:$A$200,0)),"нет в справочнике"))</f>
        <v/>
      </c>
      <c r="F679" s="6"/>
      <c r="G679" s="8" t="str">
        <f aca="false">IF(D679="","",IFERROR(INDEX(Товары!$C$2:$C$200,MATCH(D679,Товары!$A$2:$A$200,0)),0))</f>
        <v/>
      </c>
      <c r="H679" s="8" t="str">
        <f aca="false">IF(D679="","",F679*G679)</f>
        <v/>
      </c>
      <c r="I679" s="8" t="str">
        <f aca="false">IF(D679="","",F679*IFERROR(INDEX(Товары!$D$2:$D$200,MATCH(D679,Товары!$A$2:$A$200,0)),0))</f>
        <v/>
      </c>
      <c r="J679" s="8" t="str">
        <f aca="false">IF(D679="","",H679-I679)</f>
        <v/>
      </c>
      <c r="K679" s="7" t="str">
        <f aca="false">IF(A679="","",MONTH(A679))</f>
        <v/>
      </c>
      <c r="L679" s="7" t="str">
        <f aca="false">IF(A679="","",YEAR(A679))</f>
        <v/>
      </c>
      <c r="M679" s="9" t="str">
        <f aca="false">IF(B679="","",B679&amp;"|"&amp;COUNTIF(B$2:B679,B679))</f>
        <v/>
      </c>
    </row>
    <row r="680" customFormat="false" ht="15" hidden="false" customHeight="false" outlineLevel="0" collapsed="false">
      <c r="A680" s="5"/>
      <c r="B680" s="6"/>
      <c r="C680" s="6"/>
      <c r="D680" s="6"/>
      <c r="E680" s="7" t="str">
        <f aca="false">IF(D680="","",IFERROR(INDEX(Товары!$B$2:$B$200,MATCH(D680,Товары!$A$2:$A$200,0)),"нет в справочнике"))</f>
        <v/>
      </c>
      <c r="F680" s="6"/>
      <c r="G680" s="8" t="str">
        <f aca="false">IF(D680="","",IFERROR(INDEX(Товары!$C$2:$C$200,MATCH(D680,Товары!$A$2:$A$200,0)),0))</f>
        <v/>
      </c>
      <c r="H680" s="8" t="str">
        <f aca="false">IF(D680="","",F680*G680)</f>
        <v/>
      </c>
      <c r="I680" s="8" t="str">
        <f aca="false">IF(D680="","",F680*IFERROR(INDEX(Товары!$D$2:$D$200,MATCH(D680,Товары!$A$2:$A$200,0)),0))</f>
        <v/>
      </c>
      <c r="J680" s="8" t="str">
        <f aca="false">IF(D680="","",H680-I680)</f>
        <v/>
      </c>
      <c r="K680" s="7" t="str">
        <f aca="false">IF(A680="","",MONTH(A680))</f>
        <v/>
      </c>
      <c r="L680" s="7" t="str">
        <f aca="false">IF(A680="","",YEAR(A680))</f>
        <v/>
      </c>
      <c r="M680" s="9" t="str">
        <f aca="false">IF(B680="","",B680&amp;"|"&amp;COUNTIF(B$2:B680,B680))</f>
        <v/>
      </c>
    </row>
    <row r="681" customFormat="false" ht="15" hidden="false" customHeight="false" outlineLevel="0" collapsed="false">
      <c r="A681" s="5"/>
      <c r="B681" s="6"/>
      <c r="C681" s="6"/>
      <c r="D681" s="6"/>
      <c r="E681" s="7" t="str">
        <f aca="false">IF(D681="","",IFERROR(INDEX(Товары!$B$2:$B$200,MATCH(D681,Товары!$A$2:$A$200,0)),"нет в справочнике"))</f>
        <v/>
      </c>
      <c r="F681" s="6"/>
      <c r="G681" s="8" t="str">
        <f aca="false">IF(D681="","",IFERROR(INDEX(Товары!$C$2:$C$200,MATCH(D681,Товары!$A$2:$A$200,0)),0))</f>
        <v/>
      </c>
      <c r="H681" s="8" t="str">
        <f aca="false">IF(D681="","",F681*G681)</f>
        <v/>
      </c>
      <c r="I681" s="8" t="str">
        <f aca="false">IF(D681="","",F681*IFERROR(INDEX(Товары!$D$2:$D$200,MATCH(D681,Товары!$A$2:$A$200,0)),0))</f>
        <v/>
      </c>
      <c r="J681" s="8" t="str">
        <f aca="false">IF(D681="","",H681-I681)</f>
        <v/>
      </c>
      <c r="K681" s="7" t="str">
        <f aca="false">IF(A681="","",MONTH(A681))</f>
        <v/>
      </c>
      <c r="L681" s="7" t="str">
        <f aca="false">IF(A681="","",YEAR(A681))</f>
        <v/>
      </c>
      <c r="M681" s="9" t="str">
        <f aca="false">IF(B681="","",B681&amp;"|"&amp;COUNTIF(B$2:B681,B681))</f>
        <v/>
      </c>
    </row>
    <row r="682" customFormat="false" ht="15" hidden="false" customHeight="false" outlineLevel="0" collapsed="false">
      <c r="A682" s="5"/>
      <c r="B682" s="6"/>
      <c r="C682" s="6"/>
      <c r="D682" s="6"/>
      <c r="E682" s="7" t="str">
        <f aca="false">IF(D682="","",IFERROR(INDEX(Товары!$B$2:$B$200,MATCH(D682,Товары!$A$2:$A$200,0)),"нет в справочнике"))</f>
        <v/>
      </c>
      <c r="F682" s="6"/>
      <c r="G682" s="8" t="str">
        <f aca="false">IF(D682="","",IFERROR(INDEX(Товары!$C$2:$C$200,MATCH(D682,Товары!$A$2:$A$200,0)),0))</f>
        <v/>
      </c>
      <c r="H682" s="8" t="str">
        <f aca="false">IF(D682="","",F682*G682)</f>
        <v/>
      </c>
      <c r="I682" s="8" t="str">
        <f aca="false">IF(D682="","",F682*IFERROR(INDEX(Товары!$D$2:$D$200,MATCH(D682,Товары!$A$2:$A$200,0)),0))</f>
        <v/>
      </c>
      <c r="J682" s="8" t="str">
        <f aca="false">IF(D682="","",H682-I682)</f>
        <v/>
      </c>
      <c r="K682" s="7" t="str">
        <f aca="false">IF(A682="","",MONTH(A682))</f>
        <v/>
      </c>
      <c r="L682" s="7" t="str">
        <f aca="false">IF(A682="","",YEAR(A682))</f>
        <v/>
      </c>
      <c r="M682" s="9" t="str">
        <f aca="false">IF(B682="","",B682&amp;"|"&amp;COUNTIF(B$2:B682,B682))</f>
        <v/>
      </c>
    </row>
    <row r="683" customFormat="false" ht="15" hidden="false" customHeight="false" outlineLevel="0" collapsed="false">
      <c r="A683" s="5"/>
      <c r="B683" s="6"/>
      <c r="C683" s="6"/>
      <c r="D683" s="6"/>
      <c r="E683" s="7" t="str">
        <f aca="false">IF(D683="","",IFERROR(INDEX(Товары!$B$2:$B$200,MATCH(D683,Товары!$A$2:$A$200,0)),"нет в справочнике"))</f>
        <v/>
      </c>
      <c r="F683" s="6"/>
      <c r="G683" s="8" t="str">
        <f aca="false">IF(D683="","",IFERROR(INDEX(Товары!$C$2:$C$200,MATCH(D683,Товары!$A$2:$A$200,0)),0))</f>
        <v/>
      </c>
      <c r="H683" s="8" t="str">
        <f aca="false">IF(D683="","",F683*G683)</f>
        <v/>
      </c>
      <c r="I683" s="8" t="str">
        <f aca="false">IF(D683="","",F683*IFERROR(INDEX(Товары!$D$2:$D$200,MATCH(D683,Товары!$A$2:$A$200,0)),0))</f>
        <v/>
      </c>
      <c r="J683" s="8" t="str">
        <f aca="false">IF(D683="","",H683-I683)</f>
        <v/>
      </c>
      <c r="K683" s="7" t="str">
        <f aca="false">IF(A683="","",MONTH(A683))</f>
        <v/>
      </c>
      <c r="L683" s="7" t="str">
        <f aca="false">IF(A683="","",YEAR(A683))</f>
        <v/>
      </c>
      <c r="M683" s="9" t="str">
        <f aca="false">IF(B683="","",B683&amp;"|"&amp;COUNTIF(B$2:B683,B683))</f>
        <v/>
      </c>
    </row>
    <row r="684" customFormat="false" ht="15" hidden="false" customHeight="false" outlineLevel="0" collapsed="false">
      <c r="A684" s="5"/>
      <c r="B684" s="6"/>
      <c r="C684" s="6"/>
      <c r="D684" s="6"/>
      <c r="E684" s="7" t="str">
        <f aca="false">IF(D684="","",IFERROR(INDEX(Товары!$B$2:$B$200,MATCH(D684,Товары!$A$2:$A$200,0)),"нет в справочнике"))</f>
        <v/>
      </c>
      <c r="F684" s="6"/>
      <c r="G684" s="8" t="str">
        <f aca="false">IF(D684="","",IFERROR(INDEX(Товары!$C$2:$C$200,MATCH(D684,Товары!$A$2:$A$200,0)),0))</f>
        <v/>
      </c>
      <c r="H684" s="8" t="str">
        <f aca="false">IF(D684="","",F684*G684)</f>
        <v/>
      </c>
      <c r="I684" s="8" t="str">
        <f aca="false">IF(D684="","",F684*IFERROR(INDEX(Товары!$D$2:$D$200,MATCH(D684,Товары!$A$2:$A$200,0)),0))</f>
        <v/>
      </c>
      <c r="J684" s="8" t="str">
        <f aca="false">IF(D684="","",H684-I684)</f>
        <v/>
      </c>
      <c r="K684" s="7" t="str">
        <f aca="false">IF(A684="","",MONTH(A684))</f>
        <v/>
      </c>
      <c r="L684" s="7" t="str">
        <f aca="false">IF(A684="","",YEAR(A684))</f>
        <v/>
      </c>
      <c r="M684" s="9" t="str">
        <f aca="false">IF(B684="","",B684&amp;"|"&amp;COUNTIF(B$2:B684,B684))</f>
        <v/>
      </c>
    </row>
    <row r="685" customFormat="false" ht="15" hidden="false" customHeight="false" outlineLevel="0" collapsed="false">
      <c r="A685" s="5"/>
      <c r="B685" s="6"/>
      <c r="C685" s="6"/>
      <c r="D685" s="6"/>
      <c r="E685" s="7" t="str">
        <f aca="false">IF(D685="","",IFERROR(INDEX(Товары!$B$2:$B$200,MATCH(D685,Товары!$A$2:$A$200,0)),"нет в справочнике"))</f>
        <v/>
      </c>
      <c r="F685" s="6"/>
      <c r="G685" s="8" t="str">
        <f aca="false">IF(D685="","",IFERROR(INDEX(Товары!$C$2:$C$200,MATCH(D685,Товары!$A$2:$A$200,0)),0))</f>
        <v/>
      </c>
      <c r="H685" s="8" t="str">
        <f aca="false">IF(D685="","",F685*G685)</f>
        <v/>
      </c>
      <c r="I685" s="8" t="str">
        <f aca="false">IF(D685="","",F685*IFERROR(INDEX(Товары!$D$2:$D$200,MATCH(D685,Товары!$A$2:$A$200,0)),0))</f>
        <v/>
      </c>
      <c r="J685" s="8" t="str">
        <f aca="false">IF(D685="","",H685-I685)</f>
        <v/>
      </c>
      <c r="K685" s="7" t="str">
        <f aca="false">IF(A685="","",MONTH(A685))</f>
        <v/>
      </c>
      <c r="L685" s="7" t="str">
        <f aca="false">IF(A685="","",YEAR(A685))</f>
        <v/>
      </c>
      <c r="M685" s="9" t="str">
        <f aca="false">IF(B685="","",B685&amp;"|"&amp;COUNTIF(B$2:B685,B685))</f>
        <v/>
      </c>
    </row>
    <row r="686" customFormat="false" ht="15" hidden="false" customHeight="false" outlineLevel="0" collapsed="false">
      <c r="A686" s="5"/>
      <c r="B686" s="6"/>
      <c r="C686" s="6"/>
      <c r="D686" s="6"/>
      <c r="E686" s="7" t="str">
        <f aca="false">IF(D686="","",IFERROR(INDEX(Товары!$B$2:$B$200,MATCH(D686,Товары!$A$2:$A$200,0)),"нет в справочнике"))</f>
        <v/>
      </c>
      <c r="F686" s="6"/>
      <c r="G686" s="8" t="str">
        <f aca="false">IF(D686="","",IFERROR(INDEX(Товары!$C$2:$C$200,MATCH(D686,Товары!$A$2:$A$200,0)),0))</f>
        <v/>
      </c>
      <c r="H686" s="8" t="str">
        <f aca="false">IF(D686="","",F686*G686)</f>
        <v/>
      </c>
      <c r="I686" s="8" t="str">
        <f aca="false">IF(D686="","",F686*IFERROR(INDEX(Товары!$D$2:$D$200,MATCH(D686,Товары!$A$2:$A$200,0)),0))</f>
        <v/>
      </c>
      <c r="J686" s="8" t="str">
        <f aca="false">IF(D686="","",H686-I686)</f>
        <v/>
      </c>
      <c r="K686" s="7" t="str">
        <f aca="false">IF(A686="","",MONTH(A686))</f>
        <v/>
      </c>
      <c r="L686" s="7" t="str">
        <f aca="false">IF(A686="","",YEAR(A686))</f>
        <v/>
      </c>
      <c r="M686" s="9" t="str">
        <f aca="false">IF(B686="","",B686&amp;"|"&amp;COUNTIF(B$2:B686,B686))</f>
        <v/>
      </c>
    </row>
    <row r="687" customFormat="false" ht="15" hidden="false" customHeight="false" outlineLevel="0" collapsed="false">
      <c r="A687" s="5"/>
      <c r="B687" s="6"/>
      <c r="C687" s="6"/>
      <c r="D687" s="6"/>
      <c r="E687" s="7" t="str">
        <f aca="false">IF(D687="","",IFERROR(INDEX(Товары!$B$2:$B$200,MATCH(D687,Товары!$A$2:$A$200,0)),"нет в справочнике"))</f>
        <v/>
      </c>
      <c r="F687" s="6"/>
      <c r="G687" s="8" t="str">
        <f aca="false">IF(D687="","",IFERROR(INDEX(Товары!$C$2:$C$200,MATCH(D687,Товары!$A$2:$A$200,0)),0))</f>
        <v/>
      </c>
      <c r="H687" s="8" t="str">
        <f aca="false">IF(D687="","",F687*G687)</f>
        <v/>
      </c>
      <c r="I687" s="8" t="str">
        <f aca="false">IF(D687="","",F687*IFERROR(INDEX(Товары!$D$2:$D$200,MATCH(D687,Товары!$A$2:$A$200,0)),0))</f>
        <v/>
      </c>
      <c r="J687" s="8" t="str">
        <f aca="false">IF(D687="","",H687-I687)</f>
        <v/>
      </c>
      <c r="K687" s="7" t="str">
        <f aca="false">IF(A687="","",MONTH(A687))</f>
        <v/>
      </c>
      <c r="L687" s="7" t="str">
        <f aca="false">IF(A687="","",YEAR(A687))</f>
        <v/>
      </c>
      <c r="M687" s="9" t="str">
        <f aca="false">IF(B687="","",B687&amp;"|"&amp;COUNTIF(B$2:B687,B687))</f>
        <v/>
      </c>
    </row>
    <row r="688" customFormat="false" ht="15" hidden="false" customHeight="false" outlineLevel="0" collapsed="false">
      <c r="A688" s="5"/>
      <c r="B688" s="6"/>
      <c r="C688" s="6"/>
      <c r="D688" s="6"/>
      <c r="E688" s="7" t="str">
        <f aca="false">IF(D688="","",IFERROR(INDEX(Товары!$B$2:$B$200,MATCH(D688,Товары!$A$2:$A$200,0)),"нет в справочнике"))</f>
        <v/>
      </c>
      <c r="F688" s="6"/>
      <c r="G688" s="8" t="str">
        <f aca="false">IF(D688="","",IFERROR(INDEX(Товары!$C$2:$C$200,MATCH(D688,Товары!$A$2:$A$200,0)),0))</f>
        <v/>
      </c>
      <c r="H688" s="8" t="str">
        <f aca="false">IF(D688="","",F688*G688)</f>
        <v/>
      </c>
      <c r="I688" s="8" t="str">
        <f aca="false">IF(D688="","",F688*IFERROR(INDEX(Товары!$D$2:$D$200,MATCH(D688,Товары!$A$2:$A$200,0)),0))</f>
        <v/>
      </c>
      <c r="J688" s="8" t="str">
        <f aca="false">IF(D688="","",H688-I688)</f>
        <v/>
      </c>
      <c r="K688" s="7" t="str">
        <f aca="false">IF(A688="","",MONTH(A688))</f>
        <v/>
      </c>
      <c r="L688" s="7" t="str">
        <f aca="false">IF(A688="","",YEAR(A688))</f>
        <v/>
      </c>
      <c r="M688" s="9" t="str">
        <f aca="false">IF(B688="","",B688&amp;"|"&amp;COUNTIF(B$2:B688,B688))</f>
        <v/>
      </c>
    </row>
    <row r="689" customFormat="false" ht="15" hidden="false" customHeight="false" outlineLevel="0" collapsed="false">
      <c r="A689" s="5"/>
      <c r="B689" s="6"/>
      <c r="C689" s="6"/>
      <c r="D689" s="6"/>
      <c r="E689" s="7" t="str">
        <f aca="false">IF(D689="","",IFERROR(INDEX(Товары!$B$2:$B$200,MATCH(D689,Товары!$A$2:$A$200,0)),"нет в справочнике"))</f>
        <v/>
      </c>
      <c r="F689" s="6"/>
      <c r="G689" s="8" t="str">
        <f aca="false">IF(D689="","",IFERROR(INDEX(Товары!$C$2:$C$200,MATCH(D689,Товары!$A$2:$A$200,0)),0))</f>
        <v/>
      </c>
      <c r="H689" s="8" t="str">
        <f aca="false">IF(D689="","",F689*G689)</f>
        <v/>
      </c>
      <c r="I689" s="8" t="str">
        <f aca="false">IF(D689="","",F689*IFERROR(INDEX(Товары!$D$2:$D$200,MATCH(D689,Товары!$A$2:$A$200,0)),0))</f>
        <v/>
      </c>
      <c r="J689" s="8" t="str">
        <f aca="false">IF(D689="","",H689-I689)</f>
        <v/>
      </c>
      <c r="K689" s="7" t="str">
        <f aca="false">IF(A689="","",MONTH(A689))</f>
        <v/>
      </c>
      <c r="L689" s="7" t="str">
        <f aca="false">IF(A689="","",YEAR(A689))</f>
        <v/>
      </c>
      <c r="M689" s="9" t="str">
        <f aca="false">IF(B689="","",B689&amp;"|"&amp;COUNTIF(B$2:B689,B689))</f>
        <v/>
      </c>
    </row>
    <row r="690" customFormat="false" ht="15" hidden="false" customHeight="false" outlineLevel="0" collapsed="false">
      <c r="A690" s="5"/>
      <c r="B690" s="6"/>
      <c r="C690" s="6"/>
      <c r="D690" s="6"/>
      <c r="E690" s="7" t="str">
        <f aca="false">IF(D690="","",IFERROR(INDEX(Товары!$B$2:$B$200,MATCH(D690,Товары!$A$2:$A$200,0)),"нет в справочнике"))</f>
        <v/>
      </c>
      <c r="F690" s="6"/>
      <c r="G690" s="8" t="str">
        <f aca="false">IF(D690="","",IFERROR(INDEX(Товары!$C$2:$C$200,MATCH(D690,Товары!$A$2:$A$200,0)),0))</f>
        <v/>
      </c>
      <c r="H690" s="8" t="str">
        <f aca="false">IF(D690="","",F690*G690)</f>
        <v/>
      </c>
      <c r="I690" s="8" t="str">
        <f aca="false">IF(D690="","",F690*IFERROR(INDEX(Товары!$D$2:$D$200,MATCH(D690,Товары!$A$2:$A$200,0)),0))</f>
        <v/>
      </c>
      <c r="J690" s="8" t="str">
        <f aca="false">IF(D690="","",H690-I690)</f>
        <v/>
      </c>
      <c r="K690" s="7" t="str">
        <f aca="false">IF(A690="","",MONTH(A690))</f>
        <v/>
      </c>
      <c r="L690" s="7" t="str">
        <f aca="false">IF(A690="","",YEAR(A690))</f>
        <v/>
      </c>
      <c r="M690" s="9" t="str">
        <f aca="false">IF(B690="","",B690&amp;"|"&amp;COUNTIF(B$2:B690,B690))</f>
        <v/>
      </c>
    </row>
    <row r="691" customFormat="false" ht="15" hidden="false" customHeight="false" outlineLevel="0" collapsed="false">
      <c r="A691" s="5"/>
      <c r="B691" s="6"/>
      <c r="C691" s="6"/>
      <c r="D691" s="6"/>
      <c r="E691" s="7" t="str">
        <f aca="false">IF(D691="","",IFERROR(INDEX(Товары!$B$2:$B$200,MATCH(D691,Товары!$A$2:$A$200,0)),"нет в справочнике"))</f>
        <v/>
      </c>
      <c r="F691" s="6"/>
      <c r="G691" s="8" t="str">
        <f aca="false">IF(D691="","",IFERROR(INDEX(Товары!$C$2:$C$200,MATCH(D691,Товары!$A$2:$A$200,0)),0))</f>
        <v/>
      </c>
      <c r="H691" s="8" t="str">
        <f aca="false">IF(D691="","",F691*G691)</f>
        <v/>
      </c>
      <c r="I691" s="8" t="str">
        <f aca="false">IF(D691="","",F691*IFERROR(INDEX(Товары!$D$2:$D$200,MATCH(D691,Товары!$A$2:$A$200,0)),0))</f>
        <v/>
      </c>
      <c r="J691" s="8" t="str">
        <f aca="false">IF(D691="","",H691-I691)</f>
        <v/>
      </c>
      <c r="K691" s="7" t="str">
        <f aca="false">IF(A691="","",MONTH(A691))</f>
        <v/>
      </c>
      <c r="L691" s="7" t="str">
        <f aca="false">IF(A691="","",YEAR(A691))</f>
        <v/>
      </c>
      <c r="M691" s="9" t="str">
        <f aca="false">IF(B691="","",B691&amp;"|"&amp;COUNTIF(B$2:B691,B691))</f>
        <v/>
      </c>
    </row>
    <row r="692" customFormat="false" ht="15" hidden="false" customHeight="false" outlineLevel="0" collapsed="false">
      <c r="A692" s="5"/>
      <c r="B692" s="6"/>
      <c r="C692" s="6"/>
      <c r="D692" s="6"/>
      <c r="E692" s="7" t="str">
        <f aca="false">IF(D692="","",IFERROR(INDEX(Товары!$B$2:$B$200,MATCH(D692,Товары!$A$2:$A$200,0)),"нет в справочнике"))</f>
        <v/>
      </c>
      <c r="F692" s="6"/>
      <c r="G692" s="8" t="str">
        <f aca="false">IF(D692="","",IFERROR(INDEX(Товары!$C$2:$C$200,MATCH(D692,Товары!$A$2:$A$200,0)),0))</f>
        <v/>
      </c>
      <c r="H692" s="8" t="str">
        <f aca="false">IF(D692="","",F692*G692)</f>
        <v/>
      </c>
      <c r="I692" s="8" t="str">
        <f aca="false">IF(D692="","",F692*IFERROR(INDEX(Товары!$D$2:$D$200,MATCH(D692,Товары!$A$2:$A$200,0)),0))</f>
        <v/>
      </c>
      <c r="J692" s="8" t="str">
        <f aca="false">IF(D692="","",H692-I692)</f>
        <v/>
      </c>
      <c r="K692" s="7" t="str">
        <f aca="false">IF(A692="","",MONTH(A692))</f>
        <v/>
      </c>
      <c r="L692" s="7" t="str">
        <f aca="false">IF(A692="","",YEAR(A692))</f>
        <v/>
      </c>
      <c r="M692" s="9" t="str">
        <f aca="false">IF(B692="","",B692&amp;"|"&amp;COUNTIF(B$2:B692,B692))</f>
        <v/>
      </c>
    </row>
    <row r="693" customFormat="false" ht="15" hidden="false" customHeight="false" outlineLevel="0" collapsed="false">
      <c r="A693" s="5"/>
      <c r="B693" s="6"/>
      <c r="C693" s="6"/>
      <c r="D693" s="6"/>
      <c r="E693" s="7" t="str">
        <f aca="false">IF(D693="","",IFERROR(INDEX(Товары!$B$2:$B$200,MATCH(D693,Товары!$A$2:$A$200,0)),"нет в справочнике"))</f>
        <v/>
      </c>
      <c r="F693" s="6"/>
      <c r="G693" s="8" t="str">
        <f aca="false">IF(D693="","",IFERROR(INDEX(Товары!$C$2:$C$200,MATCH(D693,Товары!$A$2:$A$200,0)),0))</f>
        <v/>
      </c>
      <c r="H693" s="8" t="str">
        <f aca="false">IF(D693="","",F693*G693)</f>
        <v/>
      </c>
      <c r="I693" s="8" t="str">
        <f aca="false">IF(D693="","",F693*IFERROR(INDEX(Товары!$D$2:$D$200,MATCH(D693,Товары!$A$2:$A$200,0)),0))</f>
        <v/>
      </c>
      <c r="J693" s="8" t="str">
        <f aca="false">IF(D693="","",H693-I693)</f>
        <v/>
      </c>
      <c r="K693" s="7" t="str">
        <f aca="false">IF(A693="","",MONTH(A693))</f>
        <v/>
      </c>
      <c r="L693" s="7" t="str">
        <f aca="false">IF(A693="","",YEAR(A693))</f>
        <v/>
      </c>
      <c r="M693" s="9" t="str">
        <f aca="false">IF(B693="","",B693&amp;"|"&amp;COUNTIF(B$2:B693,B693))</f>
        <v/>
      </c>
    </row>
    <row r="694" customFormat="false" ht="15" hidden="false" customHeight="false" outlineLevel="0" collapsed="false">
      <c r="A694" s="5"/>
      <c r="B694" s="6"/>
      <c r="C694" s="6"/>
      <c r="D694" s="6"/>
      <c r="E694" s="7" t="str">
        <f aca="false">IF(D694="","",IFERROR(INDEX(Товары!$B$2:$B$200,MATCH(D694,Товары!$A$2:$A$200,0)),"нет в справочнике"))</f>
        <v/>
      </c>
      <c r="F694" s="6"/>
      <c r="G694" s="8" t="str">
        <f aca="false">IF(D694="","",IFERROR(INDEX(Товары!$C$2:$C$200,MATCH(D694,Товары!$A$2:$A$200,0)),0))</f>
        <v/>
      </c>
      <c r="H694" s="8" t="str">
        <f aca="false">IF(D694="","",F694*G694)</f>
        <v/>
      </c>
      <c r="I694" s="8" t="str">
        <f aca="false">IF(D694="","",F694*IFERROR(INDEX(Товары!$D$2:$D$200,MATCH(D694,Товары!$A$2:$A$200,0)),0))</f>
        <v/>
      </c>
      <c r="J694" s="8" t="str">
        <f aca="false">IF(D694="","",H694-I694)</f>
        <v/>
      </c>
      <c r="K694" s="7" t="str">
        <f aca="false">IF(A694="","",MONTH(A694))</f>
        <v/>
      </c>
      <c r="L694" s="7" t="str">
        <f aca="false">IF(A694="","",YEAR(A694))</f>
        <v/>
      </c>
      <c r="M694" s="9" t="str">
        <f aca="false">IF(B694="","",B694&amp;"|"&amp;COUNTIF(B$2:B694,B694))</f>
        <v/>
      </c>
    </row>
    <row r="695" customFormat="false" ht="15" hidden="false" customHeight="false" outlineLevel="0" collapsed="false">
      <c r="A695" s="5"/>
      <c r="B695" s="6"/>
      <c r="C695" s="6"/>
      <c r="D695" s="6"/>
      <c r="E695" s="7" t="str">
        <f aca="false">IF(D695="","",IFERROR(INDEX(Товары!$B$2:$B$200,MATCH(D695,Товары!$A$2:$A$200,0)),"нет в справочнике"))</f>
        <v/>
      </c>
      <c r="F695" s="6"/>
      <c r="G695" s="8" t="str">
        <f aca="false">IF(D695="","",IFERROR(INDEX(Товары!$C$2:$C$200,MATCH(D695,Товары!$A$2:$A$200,0)),0))</f>
        <v/>
      </c>
      <c r="H695" s="8" t="str">
        <f aca="false">IF(D695="","",F695*G695)</f>
        <v/>
      </c>
      <c r="I695" s="8" t="str">
        <f aca="false">IF(D695="","",F695*IFERROR(INDEX(Товары!$D$2:$D$200,MATCH(D695,Товары!$A$2:$A$200,0)),0))</f>
        <v/>
      </c>
      <c r="J695" s="8" t="str">
        <f aca="false">IF(D695="","",H695-I695)</f>
        <v/>
      </c>
      <c r="K695" s="7" t="str">
        <f aca="false">IF(A695="","",MONTH(A695))</f>
        <v/>
      </c>
      <c r="L695" s="7" t="str">
        <f aca="false">IF(A695="","",YEAR(A695))</f>
        <v/>
      </c>
      <c r="M695" s="9" t="str">
        <f aca="false">IF(B695="","",B695&amp;"|"&amp;COUNTIF(B$2:B695,B695))</f>
        <v/>
      </c>
    </row>
    <row r="696" customFormat="false" ht="15" hidden="false" customHeight="false" outlineLevel="0" collapsed="false">
      <c r="A696" s="5"/>
      <c r="B696" s="6"/>
      <c r="C696" s="6"/>
      <c r="D696" s="6"/>
      <c r="E696" s="7" t="str">
        <f aca="false">IF(D696="","",IFERROR(INDEX(Товары!$B$2:$B$200,MATCH(D696,Товары!$A$2:$A$200,0)),"нет в справочнике"))</f>
        <v/>
      </c>
      <c r="F696" s="6"/>
      <c r="G696" s="8" t="str">
        <f aca="false">IF(D696="","",IFERROR(INDEX(Товары!$C$2:$C$200,MATCH(D696,Товары!$A$2:$A$200,0)),0))</f>
        <v/>
      </c>
      <c r="H696" s="8" t="str">
        <f aca="false">IF(D696="","",F696*G696)</f>
        <v/>
      </c>
      <c r="I696" s="8" t="str">
        <f aca="false">IF(D696="","",F696*IFERROR(INDEX(Товары!$D$2:$D$200,MATCH(D696,Товары!$A$2:$A$200,0)),0))</f>
        <v/>
      </c>
      <c r="J696" s="8" t="str">
        <f aca="false">IF(D696="","",H696-I696)</f>
        <v/>
      </c>
      <c r="K696" s="7" t="str">
        <f aca="false">IF(A696="","",MONTH(A696))</f>
        <v/>
      </c>
      <c r="L696" s="7" t="str">
        <f aca="false">IF(A696="","",YEAR(A696))</f>
        <v/>
      </c>
      <c r="M696" s="9" t="str">
        <f aca="false">IF(B696="","",B696&amp;"|"&amp;COUNTIF(B$2:B696,B696))</f>
        <v/>
      </c>
    </row>
    <row r="697" customFormat="false" ht="15" hidden="false" customHeight="false" outlineLevel="0" collapsed="false">
      <c r="A697" s="5"/>
      <c r="B697" s="6"/>
      <c r="C697" s="6"/>
      <c r="D697" s="6"/>
      <c r="E697" s="7" t="str">
        <f aca="false">IF(D697="","",IFERROR(INDEX(Товары!$B$2:$B$200,MATCH(D697,Товары!$A$2:$A$200,0)),"нет в справочнике"))</f>
        <v/>
      </c>
      <c r="F697" s="6"/>
      <c r="G697" s="8" t="str">
        <f aca="false">IF(D697="","",IFERROR(INDEX(Товары!$C$2:$C$200,MATCH(D697,Товары!$A$2:$A$200,0)),0))</f>
        <v/>
      </c>
      <c r="H697" s="8" t="str">
        <f aca="false">IF(D697="","",F697*G697)</f>
        <v/>
      </c>
      <c r="I697" s="8" t="str">
        <f aca="false">IF(D697="","",F697*IFERROR(INDEX(Товары!$D$2:$D$200,MATCH(D697,Товары!$A$2:$A$200,0)),0))</f>
        <v/>
      </c>
      <c r="J697" s="8" t="str">
        <f aca="false">IF(D697="","",H697-I697)</f>
        <v/>
      </c>
      <c r="K697" s="7" t="str">
        <f aca="false">IF(A697="","",MONTH(A697))</f>
        <v/>
      </c>
      <c r="L697" s="7" t="str">
        <f aca="false">IF(A697="","",YEAR(A697))</f>
        <v/>
      </c>
      <c r="M697" s="9" t="str">
        <f aca="false">IF(B697="","",B697&amp;"|"&amp;COUNTIF(B$2:B697,B697))</f>
        <v/>
      </c>
    </row>
    <row r="698" customFormat="false" ht="15" hidden="false" customHeight="false" outlineLevel="0" collapsed="false">
      <c r="A698" s="5"/>
      <c r="B698" s="6"/>
      <c r="C698" s="6"/>
      <c r="D698" s="6"/>
      <c r="E698" s="7" t="str">
        <f aca="false">IF(D698="","",IFERROR(INDEX(Товары!$B$2:$B$200,MATCH(D698,Товары!$A$2:$A$200,0)),"нет в справочнике"))</f>
        <v/>
      </c>
      <c r="F698" s="6"/>
      <c r="G698" s="8" t="str">
        <f aca="false">IF(D698="","",IFERROR(INDEX(Товары!$C$2:$C$200,MATCH(D698,Товары!$A$2:$A$200,0)),0))</f>
        <v/>
      </c>
      <c r="H698" s="8" t="str">
        <f aca="false">IF(D698="","",F698*G698)</f>
        <v/>
      </c>
      <c r="I698" s="8" t="str">
        <f aca="false">IF(D698="","",F698*IFERROR(INDEX(Товары!$D$2:$D$200,MATCH(D698,Товары!$A$2:$A$200,0)),0))</f>
        <v/>
      </c>
      <c r="J698" s="8" t="str">
        <f aca="false">IF(D698="","",H698-I698)</f>
        <v/>
      </c>
      <c r="K698" s="7" t="str">
        <f aca="false">IF(A698="","",MONTH(A698))</f>
        <v/>
      </c>
      <c r="L698" s="7" t="str">
        <f aca="false">IF(A698="","",YEAR(A698))</f>
        <v/>
      </c>
      <c r="M698" s="9" t="str">
        <f aca="false">IF(B698="","",B698&amp;"|"&amp;COUNTIF(B$2:B698,B698))</f>
        <v/>
      </c>
    </row>
    <row r="699" customFormat="false" ht="15" hidden="false" customHeight="false" outlineLevel="0" collapsed="false">
      <c r="A699" s="5"/>
      <c r="B699" s="6"/>
      <c r="C699" s="6"/>
      <c r="D699" s="6"/>
      <c r="E699" s="7" t="str">
        <f aca="false">IF(D699="","",IFERROR(INDEX(Товары!$B$2:$B$200,MATCH(D699,Товары!$A$2:$A$200,0)),"нет в справочнике"))</f>
        <v/>
      </c>
      <c r="F699" s="6"/>
      <c r="G699" s="8" t="str">
        <f aca="false">IF(D699="","",IFERROR(INDEX(Товары!$C$2:$C$200,MATCH(D699,Товары!$A$2:$A$200,0)),0))</f>
        <v/>
      </c>
      <c r="H699" s="8" t="str">
        <f aca="false">IF(D699="","",F699*G699)</f>
        <v/>
      </c>
      <c r="I699" s="8" t="str">
        <f aca="false">IF(D699="","",F699*IFERROR(INDEX(Товары!$D$2:$D$200,MATCH(D699,Товары!$A$2:$A$200,0)),0))</f>
        <v/>
      </c>
      <c r="J699" s="8" t="str">
        <f aca="false">IF(D699="","",H699-I699)</f>
        <v/>
      </c>
      <c r="K699" s="7" t="str">
        <f aca="false">IF(A699="","",MONTH(A699))</f>
        <v/>
      </c>
      <c r="L699" s="7" t="str">
        <f aca="false">IF(A699="","",YEAR(A699))</f>
        <v/>
      </c>
      <c r="M699" s="9" t="str">
        <f aca="false">IF(B699="","",B699&amp;"|"&amp;COUNTIF(B$2:B699,B699))</f>
        <v/>
      </c>
    </row>
    <row r="700" customFormat="false" ht="15" hidden="false" customHeight="false" outlineLevel="0" collapsed="false">
      <c r="A700" s="5"/>
      <c r="B700" s="6"/>
      <c r="C700" s="6"/>
      <c r="D700" s="6"/>
      <c r="E700" s="7" t="str">
        <f aca="false">IF(D700="","",IFERROR(INDEX(Товары!$B$2:$B$200,MATCH(D700,Товары!$A$2:$A$200,0)),"нет в справочнике"))</f>
        <v/>
      </c>
      <c r="F700" s="6"/>
      <c r="G700" s="8" t="str">
        <f aca="false">IF(D700="","",IFERROR(INDEX(Товары!$C$2:$C$200,MATCH(D700,Товары!$A$2:$A$200,0)),0))</f>
        <v/>
      </c>
      <c r="H700" s="8" t="str">
        <f aca="false">IF(D700="","",F700*G700)</f>
        <v/>
      </c>
      <c r="I700" s="8" t="str">
        <f aca="false">IF(D700="","",F700*IFERROR(INDEX(Товары!$D$2:$D$200,MATCH(D700,Товары!$A$2:$A$200,0)),0))</f>
        <v/>
      </c>
      <c r="J700" s="8" t="str">
        <f aca="false">IF(D700="","",H700-I700)</f>
        <v/>
      </c>
      <c r="K700" s="7" t="str">
        <f aca="false">IF(A700="","",MONTH(A700))</f>
        <v/>
      </c>
      <c r="L700" s="7" t="str">
        <f aca="false">IF(A700="","",YEAR(A700))</f>
        <v/>
      </c>
      <c r="M700" s="9" t="str">
        <f aca="false">IF(B700="","",B700&amp;"|"&amp;COUNTIF(B$2:B700,B700))</f>
        <v/>
      </c>
    </row>
    <row r="701" customFormat="false" ht="15" hidden="false" customHeight="false" outlineLevel="0" collapsed="false">
      <c r="A701" s="5"/>
      <c r="B701" s="6"/>
      <c r="C701" s="6"/>
      <c r="D701" s="6"/>
      <c r="E701" s="7" t="str">
        <f aca="false">IF(D701="","",IFERROR(INDEX(Товары!$B$2:$B$200,MATCH(D701,Товары!$A$2:$A$200,0)),"нет в справочнике"))</f>
        <v/>
      </c>
      <c r="F701" s="6"/>
      <c r="G701" s="8" t="str">
        <f aca="false">IF(D701="","",IFERROR(INDEX(Товары!$C$2:$C$200,MATCH(D701,Товары!$A$2:$A$200,0)),0))</f>
        <v/>
      </c>
      <c r="H701" s="8" t="str">
        <f aca="false">IF(D701="","",F701*G701)</f>
        <v/>
      </c>
      <c r="I701" s="8" t="str">
        <f aca="false">IF(D701="","",F701*IFERROR(INDEX(Товары!$D$2:$D$200,MATCH(D701,Товары!$A$2:$A$200,0)),0))</f>
        <v/>
      </c>
      <c r="J701" s="8" t="str">
        <f aca="false">IF(D701="","",H701-I701)</f>
        <v/>
      </c>
      <c r="K701" s="7" t="str">
        <f aca="false">IF(A701="","",MONTH(A701))</f>
        <v/>
      </c>
      <c r="L701" s="7" t="str">
        <f aca="false">IF(A701="","",YEAR(A701))</f>
        <v/>
      </c>
      <c r="M701" s="9" t="str">
        <f aca="false">IF(B701="","",B701&amp;"|"&amp;COUNTIF(B$2:B701,B701))</f>
        <v/>
      </c>
    </row>
    <row r="702" customFormat="false" ht="15" hidden="false" customHeight="false" outlineLevel="0" collapsed="false">
      <c r="A702" s="5"/>
      <c r="B702" s="6"/>
      <c r="C702" s="6"/>
      <c r="D702" s="6"/>
      <c r="E702" s="7" t="str">
        <f aca="false">IF(D702="","",IFERROR(INDEX(Товары!$B$2:$B$200,MATCH(D702,Товары!$A$2:$A$200,0)),"нет в справочнике"))</f>
        <v/>
      </c>
      <c r="F702" s="6"/>
      <c r="G702" s="8" t="str">
        <f aca="false">IF(D702="","",IFERROR(INDEX(Товары!$C$2:$C$200,MATCH(D702,Товары!$A$2:$A$200,0)),0))</f>
        <v/>
      </c>
      <c r="H702" s="8" t="str">
        <f aca="false">IF(D702="","",F702*G702)</f>
        <v/>
      </c>
      <c r="I702" s="8" t="str">
        <f aca="false">IF(D702="","",F702*IFERROR(INDEX(Товары!$D$2:$D$200,MATCH(D702,Товары!$A$2:$A$200,0)),0))</f>
        <v/>
      </c>
      <c r="J702" s="8" t="str">
        <f aca="false">IF(D702="","",H702-I702)</f>
        <v/>
      </c>
      <c r="K702" s="7" t="str">
        <f aca="false">IF(A702="","",MONTH(A702))</f>
        <v/>
      </c>
      <c r="L702" s="7" t="str">
        <f aca="false">IF(A702="","",YEAR(A702))</f>
        <v/>
      </c>
      <c r="M702" s="9" t="str">
        <f aca="false">IF(B702="","",B702&amp;"|"&amp;COUNTIF(B$2:B702,B702))</f>
        <v/>
      </c>
    </row>
    <row r="703" customFormat="false" ht="15" hidden="false" customHeight="false" outlineLevel="0" collapsed="false">
      <c r="A703" s="5"/>
      <c r="B703" s="6"/>
      <c r="C703" s="6"/>
      <c r="D703" s="6"/>
      <c r="E703" s="7" t="str">
        <f aca="false">IF(D703="","",IFERROR(INDEX(Товары!$B$2:$B$200,MATCH(D703,Товары!$A$2:$A$200,0)),"нет в справочнике"))</f>
        <v/>
      </c>
      <c r="F703" s="6"/>
      <c r="G703" s="8" t="str">
        <f aca="false">IF(D703="","",IFERROR(INDEX(Товары!$C$2:$C$200,MATCH(D703,Товары!$A$2:$A$200,0)),0))</f>
        <v/>
      </c>
      <c r="H703" s="8" t="str">
        <f aca="false">IF(D703="","",F703*G703)</f>
        <v/>
      </c>
      <c r="I703" s="8" t="str">
        <f aca="false">IF(D703="","",F703*IFERROR(INDEX(Товары!$D$2:$D$200,MATCH(D703,Товары!$A$2:$A$200,0)),0))</f>
        <v/>
      </c>
      <c r="J703" s="8" t="str">
        <f aca="false">IF(D703="","",H703-I703)</f>
        <v/>
      </c>
      <c r="K703" s="7" t="str">
        <f aca="false">IF(A703="","",MONTH(A703))</f>
        <v/>
      </c>
      <c r="L703" s="7" t="str">
        <f aca="false">IF(A703="","",YEAR(A703))</f>
        <v/>
      </c>
      <c r="M703" s="9" t="str">
        <f aca="false">IF(B703="","",B703&amp;"|"&amp;COUNTIF(B$2:B703,B703))</f>
        <v/>
      </c>
    </row>
    <row r="704" customFormat="false" ht="15" hidden="false" customHeight="false" outlineLevel="0" collapsed="false">
      <c r="A704" s="5"/>
      <c r="B704" s="6"/>
      <c r="C704" s="6"/>
      <c r="D704" s="6"/>
      <c r="E704" s="7" t="str">
        <f aca="false">IF(D704="","",IFERROR(INDEX(Товары!$B$2:$B$200,MATCH(D704,Товары!$A$2:$A$200,0)),"нет в справочнике"))</f>
        <v/>
      </c>
      <c r="F704" s="6"/>
      <c r="G704" s="8" t="str">
        <f aca="false">IF(D704="","",IFERROR(INDEX(Товары!$C$2:$C$200,MATCH(D704,Товары!$A$2:$A$200,0)),0))</f>
        <v/>
      </c>
      <c r="H704" s="8" t="str">
        <f aca="false">IF(D704="","",F704*G704)</f>
        <v/>
      </c>
      <c r="I704" s="8" t="str">
        <f aca="false">IF(D704="","",F704*IFERROR(INDEX(Товары!$D$2:$D$200,MATCH(D704,Товары!$A$2:$A$200,0)),0))</f>
        <v/>
      </c>
      <c r="J704" s="8" t="str">
        <f aca="false">IF(D704="","",H704-I704)</f>
        <v/>
      </c>
      <c r="K704" s="7" t="str">
        <f aca="false">IF(A704="","",MONTH(A704))</f>
        <v/>
      </c>
      <c r="L704" s="7" t="str">
        <f aca="false">IF(A704="","",YEAR(A704))</f>
        <v/>
      </c>
      <c r="M704" s="9" t="str">
        <f aca="false">IF(B704="","",B704&amp;"|"&amp;COUNTIF(B$2:B704,B704))</f>
        <v/>
      </c>
    </row>
    <row r="705" customFormat="false" ht="15" hidden="false" customHeight="false" outlineLevel="0" collapsed="false">
      <c r="A705" s="5"/>
      <c r="B705" s="6"/>
      <c r="C705" s="6"/>
      <c r="D705" s="6"/>
      <c r="E705" s="7" t="str">
        <f aca="false">IF(D705="","",IFERROR(INDEX(Товары!$B$2:$B$200,MATCH(D705,Товары!$A$2:$A$200,0)),"нет в справочнике"))</f>
        <v/>
      </c>
      <c r="F705" s="6"/>
      <c r="G705" s="8" t="str">
        <f aca="false">IF(D705="","",IFERROR(INDEX(Товары!$C$2:$C$200,MATCH(D705,Товары!$A$2:$A$200,0)),0))</f>
        <v/>
      </c>
      <c r="H705" s="8" t="str">
        <f aca="false">IF(D705="","",F705*G705)</f>
        <v/>
      </c>
      <c r="I705" s="8" t="str">
        <f aca="false">IF(D705="","",F705*IFERROR(INDEX(Товары!$D$2:$D$200,MATCH(D705,Товары!$A$2:$A$200,0)),0))</f>
        <v/>
      </c>
      <c r="J705" s="8" t="str">
        <f aca="false">IF(D705="","",H705-I705)</f>
        <v/>
      </c>
      <c r="K705" s="7" t="str">
        <f aca="false">IF(A705="","",MONTH(A705))</f>
        <v/>
      </c>
      <c r="L705" s="7" t="str">
        <f aca="false">IF(A705="","",YEAR(A705))</f>
        <v/>
      </c>
      <c r="M705" s="9" t="str">
        <f aca="false">IF(B705="","",B705&amp;"|"&amp;COUNTIF(B$2:B705,B705))</f>
        <v/>
      </c>
    </row>
    <row r="706" customFormat="false" ht="15" hidden="false" customHeight="false" outlineLevel="0" collapsed="false">
      <c r="A706" s="5"/>
      <c r="B706" s="6"/>
      <c r="C706" s="6"/>
      <c r="D706" s="6"/>
      <c r="E706" s="7" t="str">
        <f aca="false">IF(D706="","",IFERROR(INDEX(Товары!$B$2:$B$200,MATCH(D706,Товары!$A$2:$A$200,0)),"нет в справочнике"))</f>
        <v/>
      </c>
      <c r="F706" s="6"/>
      <c r="G706" s="8" t="str">
        <f aca="false">IF(D706="","",IFERROR(INDEX(Товары!$C$2:$C$200,MATCH(D706,Товары!$A$2:$A$200,0)),0))</f>
        <v/>
      </c>
      <c r="H706" s="8" t="str">
        <f aca="false">IF(D706="","",F706*G706)</f>
        <v/>
      </c>
      <c r="I706" s="8" t="str">
        <f aca="false">IF(D706="","",F706*IFERROR(INDEX(Товары!$D$2:$D$200,MATCH(D706,Товары!$A$2:$A$200,0)),0))</f>
        <v/>
      </c>
      <c r="J706" s="8" t="str">
        <f aca="false">IF(D706="","",H706-I706)</f>
        <v/>
      </c>
      <c r="K706" s="7" t="str">
        <f aca="false">IF(A706="","",MONTH(A706))</f>
        <v/>
      </c>
      <c r="L706" s="7" t="str">
        <f aca="false">IF(A706="","",YEAR(A706))</f>
        <v/>
      </c>
      <c r="M706" s="9" t="str">
        <f aca="false">IF(B706="","",B706&amp;"|"&amp;COUNTIF(B$2:B706,B706))</f>
        <v/>
      </c>
    </row>
    <row r="707" customFormat="false" ht="15" hidden="false" customHeight="false" outlineLevel="0" collapsed="false">
      <c r="A707" s="5"/>
      <c r="B707" s="6"/>
      <c r="C707" s="6"/>
      <c r="D707" s="6"/>
      <c r="E707" s="7" t="str">
        <f aca="false">IF(D707="","",IFERROR(INDEX(Товары!$B$2:$B$200,MATCH(D707,Товары!$A$2:$A$200,0)),"нет в справочнике"))</f>
        <v/>
      </c>
      <c r="F707" s="6"/>
      <c r="G707" s="8" t="str">
        <f aca="false">IF(D707="","",IFERROR(INDEX(Товары!$C$2:$C$200,MATCH(D707,Товары!$A$2:$A$200,0)),0))</f>
        <v/>
      </c>
      <c r="H707" s="8" t="str">
        <f aca="false">IF(D707="","",F707*G707)</f>
        <v/>
      </c>
      <c r="I707" s="8" t="str">
        <f aca="false">IF(D707="","",F707*IFERROR(INDEX(Товары!$D$2:$D$200,MATCH(D707,Товары!$A$2:$A$200,0)),0))</f>
        <v/>
      </c>
      <c r="J707" s="8" t="str">
        <f aca="false">IF(D707="","",H707-I707)</f>
        <v/>
      </c>
      <c r="K707" s="7" t="str">
        <f aca="false">IF(A707="","",MONTH(A707))</f>
        <v/>
      </c>
      <c r="L707" s="7" t="str">
        <f aca="false">IF(A707="","",YEAR(A707))</f>
        <v/>
      </c>
      <c r="M707" s="9" t="str">
        <f aca="false">IF(B707="","",B707&amp;"|"&amp;COUNTIF(B$2:B707,B707))</f>
        <v/>
      </c>
    </row>
    <row r="708" customFormat="false" ht="15" hidden="false" customHeight="false" outlineLevel="0" collapsed="false">
      <c r="A708" s="5"/>
      <c r="B708" s="6"/>
      <c r="C708" s="6"/>
      <c r="D708" s="6"/>
      <c r="E708" s="7" t="str">
        <f aca="false">IF(D708="","",IFERROR(INDEX(Товары!$B$2:$B$200,MATCH(D708,Товары!$A$2:$A$200,0)),"нет в справочнике"))</f>
        <v/>
      </c>
      <c r="F708" s="6"/>
      <c r="G708" s="8" t="str">
        <f aca="false">IF(D708="","",IFERROR(INDEX(Товары!$C$2:$C$200,MATCH(D708,Товары!$A$2:$A$200,0)),0))</f>
        <v/>
      </c>
      <c r="H708" s="8" t="str">
        <f aca="false">IF(D708="","",F708*G708)</f>
        <v/>
      </c>
      <c r="I708" s="8" t="str">
        <f aca="false">IF(D708="","",F708*IFERROR(INDEX(Товары!$D$2:$D$200,MATCH(D708,Товары!$A$2:$A$200,0)),0))</f>
        <v/>
      </c>
      <c r="J708" s="8" t="str">
        <f aca="false">IF(D708="","",H708-I708)</f>
        <v/>
      </c>
      <c r="K708" s="7" t="str">
        <f aca="false">IF(A708="","",MONTH(A708))</f>
        <v/>
      </c>
      <c r="L708" s="7" t="str">
        <f aca="false">IF(A708="","",YEAR(A708))</f>
        <v/>
      </c>
      <c r="M708" s="9" t="str">
        <f aca="false">IF(B708="","",B708&amp;"|"&amp;COUNTIF(B$2:B708,B708))</f>
        <v/>
      </c>
    </row>
    <row r="709" customFormat="false" ht="15" hidden="false" customHeight="false" outlineLevel="0" collapsed="false">
      <c r="A709" s="5"/>
      <c r="B709" s="6"/>
      <c r="C709" s="6"/>
      <c r="D709" s="6"/>
      <c r="E709" s="7" t="str">
        <f aca="false">IF(D709="","",IFERROR(INDEX(Товары!$B$2:$B$200,MATCH(D709,Товары!$A$2:$A$200,0)),"нет в справочнике"))</f>
        <v/>
      </c>
      <c r="F709" s="6"/>
      <c r="G709" s="8" t="str">
        <f aca="false">IF(D709="","",IFERROR(INDEX(Товары!$C$2:$C$200,MATCH(D709,Товары!$A$2:$A$200,0)),0))</f>
        <v/>
      </c>
      <c r="H709" s="8" t="str">
        <f aca="false">IF(D709="","",F709*G709)</f>
        <v/>
      </c>
      <c r="I709" s="8" t="str">
        <f aca="false">IF(D709="","",F709*IFERROR(INDEX(Товары!$D$2:$D$200,MATCH(D709,Товары!$A$2:$A$200,0)),0))</f>
        <v/>
      </c>
      <c r="J709" s="8" t="str">
        <f aca="false">IF(D709="","",H709-I709)</f>
        <v/>
      </c>
      <c r="K709" s="7" t="str">
        <f aca="false">IF(A709="","",MONTH(A709))</f>
        <v/>
      </c>
      <c r="L709" s="7" t="str">
        <f aca="false">IF(A709="","",YEAR(A709))</f>
        <v/>
      </c>
      <c r="M709" s="9" t="str">
        <f aca="false">IF(B709="","",B709&amp;"|"&amp;COUNTIF(B$2:B709,B709))</f>
        <v/>
      </c>
    </row>
    <row r="710" customFormat="false" ht="15" hidden="false" customHeight="false" outlineLevel="0" collapsed="false">
      <c r="A710" s="5"/>
      <c r="B710" s="6"/>
      <c r="C710" s="6"/>
      <c r="D710" s="6"/>
      <c r="E710" s="7" t="str">
        <f aca="false">IF(D710="","",IFERROR(INDEX(Товары!$B$2:$B$200,MATCH(D710,Товары!$A$2:$A$200,0)),"нет в справочнике"))</f>
        <v/>
      </c>
      <c r="F710" s="6"/>
      <c r="G710" s="8" t="str">
        <f aca="false">IF(D710="","",IFERROR(INDEX(Товары!$C$2:$C$200,MATCH(D710,Товары!$A$2:$A$200,0)),0))</f>
        <v/>
      </c>
      <c r="H710" s="8" t="str">
        <f aca="false">IF(D710="","",F710*G710)</f>
        <v/>
      </c>
      <c r="I710" s="8" t="str">
        <f aca="false">IF(D710="","",F710*IFERROR(INDEX(Товары!$D$2:$D$200,MATCH(D710,Товары!$A$2:$A$200,0)),0))</f>
        <v/>
      </c>
      <c r="J710" s="8" t="str">
        <f aca="false">IF(D710="","",H710-I710)</f>
        <v/>
      </c>
      <c r="K710" s="7" t="str">
        <f aca="false">IF(A710="","",MONTH(A710))</f>
        <v/>
      </c>
      <c r="L710" s="7" t="str">
        <f aca="false">IF(A710="","",YEAR(A710))</f>
        <v/>
      </c>
      <c r="M710" s="9" t="str">
        <f aca="false">IF(B710="","",B710&amp;"|"&amp;COUNTIF(B$2:B710,B710))</f>
        <v/>
      </c>
    </row>
    <row r="711" customFormat="false" ht="15" hidden="false" customHeight="false" outlineLevel="0" collapsed="false">
      <c r="A711" s="5"/>
      <c r="B711" s="6"/>
      <c r="C711" s="6"/>
      <c r="D711" s="6"/>
      <c r="E711" s="7" t="str">
        <f aca="false">IF(D711="","",IFERROR(INDEX(Товары!$B$2:$B$200,MATCH(D711,Товары!$A$2:$A$200,0)),"нет в справочнике"))</f>
        <v/>
      </c>
      <c r="F711" s="6"/>
      <c r="G711" s="8" t="str">
        <f aca="false">IF(D711="","",IFERROR(INDEX(Товары!$C$2:$C$200,MATCH(D711,Товары!$A$2:$A$200,0)),0))</f>
        <v/>
      </c>
      <c r="H711" s="8" t="str">
        <f aca="false">IF(D711="","",F711*G711)</f>
        <v/>
      </c>
      <c r="I711" s="8" t="str">
        <f aca="false">IF(D711="","",F711*IFERROR(INDEX(Товары!$D$2:$D$200,MATCH(D711,Товары!$A$2:$A$200,0)),0))</f>
        <v/>
      </c>
      <c r="J711" s="8" t="str">
        <f aca="false">IF(D711="","",H711-I711)</f>
        <v/>
      </c>
      <c r="K711" s="7" t="str">
        <f aca="false">IF(A711="","",MONTH(A711))</f>
        <v/>
      </c>
      <c r="L711" s="7" t="str">
        <f aca="false">IF(A711="","",YEAR(A711))</f>
        <v/>
      </c>
      <c r="M711" s="9" t="str">
        <f aca="false">IF(B711="","",B711&amp;"|"&amp;COUNTIF(B$2:B711,B711))</f>
        <v/>
      </c>
    </row>
    <row r="712" customFormat="false" ht="15" hidden="false" customHeight="false" outlineLevel="0" collapsed="false">
      <c r="A712" s="5"/>
      <c r="B712" s="6"/>
      <c r="C712" s="6"/>
      <c r="D712" s="6"/>
      <c r="E712" s="7" t="str">
        <f aca="false">IF(D712="","",IFERROR(INDEX(Товары!$B$2:$B$200,MATCH(D712,Товары!$A$2:$A$200,0)),"нет в справочнике"))</f>
        <v/>
      </c>
      <c r="F712" s="6"/>
      <c r="G712" s="8" t="str">
        <f aca="false">IF(D712="","",IFERROR(INDEX(Товары!$C$2:$C$200,MATCH(D712,Товары!$A$2:$A$200,0)),0))</f>
        <v/>
      </c>
      <c r="H712" s="8" t="str">
        <f aca="false">IF(D712="","",F712*G712)</f>
        <v/>
      </c>
      <c r="I712" s="8" t="str">
        <f aca="false">IF(D712="","",F712*IFERROR(INDEX(Товары!$D$2:$D$200,MATCH(D712,Товары!$A$2:$A$200,0)),0))</f>
        <v/>
      </c>
      <c r="J712" s="8" t="str">
        <f aca="false">IF(D712="","",H712-I712)</f>
        <v/>
      </c>
      <c r="K712" s="7" t="str">
        <f aca="false">IF(A712="","",MONTH(A712))</f>
        <v/>
      </c>
      <c r="L712" s="7" t="str">
        <f aca="false">IF(A712="","",YEAR(A712))</f>
        <v/>
      </c>
      <c r="M712" s="9" t="str">
        <f aca="false">IF(B712="","",B712&amp;"|"&amp;COUNTIF(B$2:B712,B712))</f>
        <v/>
      </c>
    </row>
    <row r="713" customFormat="false" ht="15" hidden="false" customHeight="false" outlineLevel="0" collapsed="false">
      <c r="A713" s="5"/>
      <c r="B713" s="6"/>
      <c r="C713" s="6"/>
      <c r="D713" s="6"/>
      <c r="E713" s="7" t="str">
        <f aca="false">IF(D713="","",IFERROR(INDEX(Товары!$B$2:$B$200,MATCH(D713,Товары!$A$2:$A$200,0)),"нет в справочнике"))</f>
        <v/>
      </c>
      <c r="F713" s="6"/>
      <c r="G713" s="8" t="str">
        <f aca="false">IF(D713="","",IFERROR(INDEX(Товары!$C$2:$C$200,MATCH(D713,Товары!$A$2:$A$200,0)),0))</f>
        <v/>
      </c>
      <c r="H713" s="8" t="str">
        <f aca="false">IF(D713="","",F713*G713)</f>
        <v/>
      </c>
      <c r="I713" s="8" t="str">
        <f aca="false">IF(D713="","",F713*IFERROR(INDEX(Товары!$D$2:$D$200,MATCH(D713,Товары!$A$2:$A$200,0)),0))</f>
        <v/>
      </c>
      <c r="J713" s="8" t="str">
        <f aca="false">IF(D713="","",H713-I713)</f>
        <v/>
      </c>
      <c r="K713" s="7" t="str">
        <f aca="false">IF(A713="","",MONTH(A713))</f>
        <v/>
      </c>
      <c r="L713" s="7" t="str">
        <f aca="false">IF(A713="","",YEAR(A713))</f>
        <v/>
      </c>
      <c r="M713" s="9" t="str">
        <f aca="false">IF(B713="","",B713&amp;"|"&amp;COUNTIF(B$2:B713,B713))</f>
        <v/>
      </c>
    </row>
    <row r="714" customFormat="false" ht="15" hidden="false" customHeight="false" outlineLevel="0" collapsed="false">
      <c r="A714" s="5"/>
      <c r="B714" s="6"/>
      <c r="C714" s="6"/>
      <c r="D714" s="6"/>
      <c r="E714" s="7" t="str">
        <f aca="false">IF(D714="","",IFERROR(INDEX(Товары!$B$2:$B$200,MATCH(D714,Товары!$A$2:$A$200,0)),"нет в справочнике"))</f>
        <v/>
      </c>
      <c r="F714" s="6"/>
      <c r="G714" s="8" t="str">
        <f aca="false">IF(D714="","",IFERROR(INDEX(Товары!$C$2:$C$200,MATCH(D714,Товары!$A$2:$A$200,0)),0))</f>
        <v/>
      </c>
      <c r="H714" s="8" t="str">
        <f aca="false">IF(D714="","",F714*G714)</f>
        <v/>
      </c>
      <c r="I714" s="8" t="str">
        <f aca="false">IF(D714="","",F714*IFERROR(INDEX(Товары!$D$2:$D$200,MATCH(D714,Товары!$A$2:$A$200,0)),0))</f>
        <v/>
      </c>
      <c r="J714" s="8" t="str">
        <f aca="false">IF(D714="","",H714-I714)</f>
        <v/>
      </c>
      <c r="K714" s="7" t="str">
        <f aca="false">IF(A714="","",MONTH(A714))</f>
        <v/>
      </c>
      <c r="L714" s="7" t="str">
        <f aca="false">IF(A714="","",YEAR(A714))</f>
        <v/>
      </c>
      <c r="M714" s="9" t="str">
        <f aca="false">IF(B714="","",B714&amp;"|"&amp;COUNTIF(B$2:B714,B714))</f>
        <v/>
      </c>
    </row>
    <row r="715" customFormat="false" ht="15" hidden="false" customHeight="false" outlineLevel="0" collapsed="false">
      <c r="A715" s="5"/>
      <c r="B715" s="6"/>
      <c r="C715" s="6"/>
      <c r="D715" s="6"/>
      <c r="E715" s="7" t="str">
        <f aca="false">IF(D715="","",IFERROR(INDEX(Товары!$B$2:$B$200,MATCH(D715,Товары!$A$2:$A$200,0)),"нет в справочнике"))</f>
        <v/>
      </c>
      <c r="F715" s="6"/>
      <c r="G715" s="8" t="str">
        <f aca="false">IF(D715="","",IFERROR(INDEX(Товары!$C$2:$C$200,MATCH(D715,Товары!$A$2:$A$200,0)),0))</f>
        <v/>
      </c>
      <c r="H715" s="8" t="str">
        <f aca="false">IF(D715="","",F715*G715)</f>
        <v/>
      </c>
      <c r="I715" s="8" t="str">
        <f aca="false">IF(D715="","",F715*IFERROR(INDEX(Товары!$D$2:$D$200,MATCH(D715,Товары!$A$2:$A$200,0)),0))</f>
        <v/>
      </c>
      <c r="J715" s="8" t="str">
        <f aca="false">IF(D715="","",H715-I715)</f>
        <v/>
      </c>
      <c r="K715" s="7" t="str">
        <f aca="false">IF(A715="","",MONTH(A715))</f>
        <v/>
      </c>
      <c r="L715" s="7" t="str">
        <f aca="false">IF(A715="","",YEAR(A715))</f>
        <v/>
      </c>
      <c r="M715" s="9" t="str">
        <f aca="false">IF(B715="","",B715&amp;"|"&amp;COUNTIF(B$2:B715,B715))</f>
        <v/>
      </c>
    </row>
    <row r="716" customFormat="false" ht="15" hidden="false" customHeight="false" outlineLevel="0" collapsed="false">
      <c r="A716" s="5"/>
      <c r="B716" s="6"/>
      <c r="C716" s="6"/>
      <c r="D716" s="6"/>
      <c r="E716" s="7" t="str">
        <f aca="false">IF(D716="","",IFERROR(INDEX(Товары!$B$2:$B$200,MATCH(D716,Товары!$A$2:$A$200,0)),"нет в справочнике"))</f>
        <v/>
      </c>
      <c r="F716" s="6"/>
      <c r="G716" s="8" t="str">
        <f aca="false">IF(D716="","",IFERROR(INDEX(Товары!$C$2:$C$200,MATCH(D716,Товары!$A$2:$A$200,0)),0))</f>
        <v/>
      </c>
      <c r="H716" s="8" t="str">
        <f aca="false">IF(D716="","",F716*G716)</f>
        <v/>
      </c>
      <c r="I716" s="8" t="str">
        <f aca="false">IF(D716="","",F716*IFERROR(INDEX(Товары!$D$2:$D$200,MATCH(D716,Товары!$A$2:$A$200,0)),0))</f>
        <v/>
      </c>
      <c r="J716" s="8" t="str">
        <f aca="false">IF(D716="","",H716-I716)</f>
        <v/>
      </c>
      <c r="K716" s="7" t="str">
        <f aca="false">IF(A716="","",MONTH(A716))</f>
        <v/>
      </c>
      <c r="L716" s="7" t="str">
        <f aca="false">IF(A716="","",YEAR(A716))</f>
        <v/>
      </c>
      <c r="M716" s="9" t="str">
        <f aca="false">IF(B716="","",B716&amp;"|"&amp;COUNTIF(B$2:B716,B716))</f>
        <v/>
      </c>
    </row>
    <row r="717" customFormat="false" ht="15" hidden="false" customHeight="false" outlineLevel="0" collapsed="false">
      <c r="A717" s="5"/>
      <c r="B717" s="6"/>
      <c r="C717" s="6"/>
      <c r="D717" s="6"/>
      <c r="E717" s="7" t="str">
        <f aca="false">IF(D717="","",IFERROR(INDEX(Товары!$B$2:$B$200,MATCH(D717,Товары!$A$2:$A$200,0)),"нет в справочнике"))</f>
        <v/>
      </c>
      <c r="F717" s="6"/>
      <c r="G717" s="8" t="str">
        <f aca="false">IF(D717="","",IFERROR(INDEX(Товары!$C$2:$C$200,MATCH(D717,Товары!$A$2:$A$200,0)),0))</f>
        <v/>
      </c>
      <c r="H717" s="8" t="str">
        <f aca="false">IF(D717="","",F717*G717)</f>
        <v/>
      </c>
      <c r="I717" s="8" t="str">
        <f aca="false">IF(D717="","",F717*IFERROR(INDEX(Товары!$D$2:$D$200,MATCH(D717,Товары!$A$2:$A$200,0)),0))</f>
        <v/>
      </c>
      <c r="J717" s="8" t="str">
        <f aca="false">IF(D717="","",H717-I717)</f>
        <v/>
      </c>
      <c r="K717" s="7" t="str">
        <f aca="false">IF(A717="","",MONTH(A717))</f>
        <v/>
      </c>
      <c r="L717" s="7" t="str">
        <f aca="false">IF(A717="","",YEAR(A717))</f>
        <v/>
      </c>
      <c r="M717" s="9" t="str">
        <f aca="false">IF(B717="","",B717&amp;"|"&amp;COUNTIF(B$2:B717,B717))</f>
        <v/>
      </c>
    </row>
    <row r="718" customFormat="false" ht="15" hidden="false" customHeight="false" outlineLevel="0" collapsed="false">
      <c r="A718" s="5"/>
      <c r="B718" s="6"/>
      <c r="C718" s="6"/>
      <c r="D718" s="6"/>
      <c r="E718" s="7" t="str">
        <f aca="false">IF(D718="","",IFERROR(INDEX(Товары!$B$2:$B$200,MATCH(D718,Товары!$A$2:$A$200,0)),"нет в справочнике"))</f>
        <v/>
      </c>
      <c r="F718" s="6"/>
      <c r="G718" s="8" t="str">
        <f aca="false">IF(D718="","",IFERROR(INDEX(Товары!$C$2:$C$200,MATCH(D718,Товары!$A$2:$A$200,0)),0))</f>
        <v/>
      </c>
      <c r="H718" s="8" t="str">
        <f aca="false">IF(D718="","",F718*G718)</f>
        <v/>
      </c>
      <c r="I718" s="8" t="str">
        <f aca="false">IF(D718="","",F718*IFERROR(INDEX(Товары!$D$2:$D$200,MATCH(D718,Товары!$A$2:$A$200,0)),0))</f>
        <v/>
      </c>
      <c r="J718" s="8" t="str">
        <f aca="false">IF(D718="","",H718-I718)</f>
        <v/>
      </c>
      <c r="K718" s="7" t="str">
        <f aca="false">IF(A718="","",MONTH(A718))</f>
        <v/>
      </c>
      <c r="L718" s="7" t="str">
        <f aca="false">IF(A718="","",YEAR(A718))</f>
        <v/>
      </c>
      <c r="M718" s="9" t="str">
        <f aca="false">IF(B718="","",B718&amp;"|"&amp;COUNTIF(B$2:B718,B718))</f>
        <v/>
      </c>
    </row>
    <row r="719" customFormat="false" ht="15" hidden="false" customHeight="false" outlineLevel="0" collapsed="false">
      <c r="A719" s="5"/>
      <c r="B719" s="6"/>
      <c r="C719" s="6"/>
      <c r="D719" s="6"/>
      <c r="E719" s="7" t="str">
        <f aca="false">IF(D719="","",IFERROR(INDEX(Товары!$B$2:$B$200,MATCH(D719,Товары!$A$2:$A$200,0)),"нет в справочнике"))</f>
        <v/>
      </c>
      <c r="F719" s="6"/>
      <c r="G719" s="8" t="str">
        <f aca="false">IF(D719="","",IFERROR(INDEX(Товары!$C$2:$C$200,MATCH(D719,Товары!$A$2:$A$200,0)),0))</f>
        <v/>
      </c>
      <c r="H719" s="8" t="str">
        <f aca="false">IF(D719="","",F719*G719)</f>
        <v/>
      </c>
      <c r="I719" s="8" t="str">
        <f aca="false">IF(D719="","",F719*IFERROR(INDEX(Товары!$D$2:$D$200,MATCH(D719,Товары!$A$2:$A$200,0)),0))</f>
        <v/>
      </c>
      <c r="J719" s="8" t="str">
        <f aca="false">IF(D719="","",H719-I719)</f>
        <v/>
      </c>
      <c r="K719" s="7" t="str">
        <f aca="false">IF(A719="","",MONTH(A719))</f>
        <v/>
      </c>
      <c r="L719" s="7" t="str">
        <f aca="false">IF(A719="","",YEAR(A719))</f>
        <v/>
      </c>
      <c r="M719" s="9" t="str">
        <f aca="false">IF(B719="","",B719&amp;"|"&amp;COUNTIF(B$2:B719,B719))</f>
        <v/>
      </c>
    </row>
    <row r="720" customFormat="false" ht="15" hidden="false" customHeight="false" outlineLevel="0" collapsed="false">
      <c r="A720" s="5"/>
      <c r="B720" s="6"/>
      <c r="C720" s="6"/>
      <c r="D720" s="6"/>
      <c r="E720" s="7" t="str">
        <f aca="false">IF(D720="","",IFERROR(INDEX(Товары!$B$2:$B$200,MATCH(D720,Товары!$A$2:$A$200,0)),"нет в справочнике"))</f>
        <v/>
      </c>
      <c r="F720" s="6"/>
      <c r="G720" s="8" t="str">
        <f aca="false">IF(D720="","",IFERROR(INDEX(Товары!$C$2:$C$200,MATCH(D720,Товары!$A$2:$A$200,0)),0))</f>
        <v/>
      </c>
      <c r="H720" s="8" t="str">
        <f aca="false">IF(D720="","",F720*G720)</f>
        <v/>
      </c>
      <c r="I720" s="8" t="str">
        <f aca="false">IF(D720="","",F720*IFERROR(INDEX(Товары!$D$2:$D$200,MATCH(D720,Товары!$A$2:$A$200,0)),0))</f>
        <v/>
      </c>
      <c r="J720" s="8" t="str">
        <f aca="false">IF(D720="","",H720-I720)</f>
        <v/>
      </c>
      <c r="K720" s="7" t="str">
        <f aca="false">IF(A720="","",MONTH(A720))</f>
        <v/>
      </c>
      <c r="L720" s="7" t="str">
        <f aca="false">IF(A720="","",YEAR(A720))</f>
        <v/>
      </c>
      <c r="M720" s="9" t="str">
        <f aca="false">IF(B720="","",B720&amp;"|"&amp;COUNTIF(B$2:B720,B720))</f>
        <v/>
      </c>
    </row>
    <row r="721" customFormat="false" ht="15" hidden="false" customHeight="false" outlineLevel="0" collapsed="false">
      <c r="A721" s="5"/>
      <c r="B721" s="6"/>
      <c r="C721" s="6"/>
      <c r="D721" s="6"/>
      <c r="E721" s="7" t="str">
        <f aca="false">IF(D721="","",IFERROR(INDEX(Товары!$B$2:$B$200,MATCH(D721,Товары!$A$2:$A$200,0)),"нет в справочнике"))</f>
        <v/>
      </c>
      <c r="F721" s="6"/>
      <c r="G721" s="8" t="str">
        <f aca="false">IF(D721="","",IFERROR(INDEX(Товары!$C$2:$C$200,MATCH(D721,Товары!$A$2:$A$200,0)),0))</f>
        <v/>
      </c>
      <c r="H721" s="8" t="str">
        <f aca="false">IF(D721="","",F721*G721)</f>
        <v/>
      </c>
      <c r="I721" s="8" t="str">
        <f aca="false">IF(D721="","",F721*IFERROR(INDEX(Товары!$D$2:$D$200,MATCH(D721,Товары!$A$2:$A$200,0)),0))</f>
        <v/>
      </c>
      <c r="J721" s="8" t="str">
        <f aca="false">IF(D721="","",H721-I721)</f>
        <v/>
      </c>
      <c r="K721" s="7" t="str">
        <f aca="false">IF(A721="","",MONTH(A721))</f>
        <v/>
      </c>
      <c r="L721" s="7" t="str">
        <f aca="false">IF(A721="","",YEAR(A721))</f>
        <v/>
      </c>
      <c r="M721" s="9" t="str">
        <f aca="false">IF(B721="","",B721&amp;"|"&amp;COUNTIF(B$2:B721,B721))</f>
        <v/>
      </c>
    </row>
    <row r="722" customFormat="false" ht="15" hidden="false" customHeight="false" outlineLevel="0" collapsed="false">
      <c r="A722" s="5"/>
      <c r="B722" s="6"/>
      <c r="C722" s="6"/>
      <c r="D722" s="6"/>
      <c r="E722" s="7" t="str">
        <f aca="false">IF(D722="","",IFERROR(INDEX(Товары!$B$2:$B$200,MATCH(D722,Товары!$A$2:$A$200,0)),"нет в справочнике"))</f>
        <v/>
      </c>
      <c r="F722" s="6"/>
      <c r="G722" s="8" t="str">
        <f aca="false">IF(D722="","",IFERROR(INDEX(Товары!$C$2:$C$200,MATCH(D722,Товары!$A$2:$A$200,0)),0))</f>
        <v/>
      </c>
      <c r="H722" s="8" t="str">
        <f aca="false">IF(D722="","",F722*G722)</f>
        <v/>
      </c>
      <c r="I722" s="8" t="str">
        <f aca="false">IF(D722="","",F722*IFERROR(INDEX(Товары!$D$2:$D$200,MATCH(D722,Товары!$A$2:$A$200,0)),0))</f>
        <v/>
      </c>
      <c r="J722" s="8" t="str">
        <f aca="false">IF(D722="","",H722-I722)</f>
        <v/>
      </c>
      <c r="K722" s="7" t="str">
        <f aca="false">IF(A722="","",MONTH(A722))</f>
        <v/>
      </c>
      <c r="L722" s="7" t="str">
        <f aca="false">IF(A722="","",YEAR(A722))</f>
        <v/>
      </c>
      <c r="M722" s="9" t="str">
        <f aca="false">IF(B722="","",B722&amp;"|"&amp;COUNTIF(B$2:B722,B722))</f>
        <v/>
      </c>
    </row>
    <row r="723" customFormat="false" ht="15" hidden="false" customHeight="false" outlineLevel="0" collapsed="false">
      <c r="A723" s="5"/>
      <c r="B723" s="6"/>
      <c r="C723" s="6"/>
      <c r="D723" s="6"/>
      <c r="E723" s="7" t="str">
        <f aca="false">IF(D723="","",IFERROR(INDEX(Товары!$B$2:$B$200,MATCH(D723,Товары!$A$2:$A$200,0)),"нет в справочнике"))</f>
        <v/>
      </c>
      <c r="F723" s="6"/>
      <c r="G723" s="8" t="str">
        <f aca="false">IF(D723="","",IFERROR(INDEX(Товары!$C$2:$C$200,MATCH(D723,Товары!$A$2:$A$200,0)),0))</f>
        <v/>
      </c>
      <c r="H723" s="8" t="str">
        <f aca="false">IF(D723="","",F723*G723)</f>
        <v/>
      </c>
      <c r="I723" s="8" t="str">
        <f aca="false">IF(D723="","",F723*IFERROR(INDEX(Товары!$D$2:$D$200,MATCH(D723,Товары!$A$2:$A$200,0)),0))</f>
        <v/>
      </c>
      <c r="J723" s="8" t="str">
        <f aca="false">IF(D723="","",H723-I723)</f>
        <v/>
      </c>
      <c r="K723" s="7" t="str">
        <f aca="false">IF(A723="","",MONTH(A723))</f>
        <v/>
      </c>
      <c r="L723" s="7" t="str">
        <f aca="false">IF(A723="","",YEAR(A723))</f>
        <v/>
      </c>
      <c r="M723" s="9" t="str">
        <f aca="false">IF(B723="","",B723&amp;"|"&amp;COUNTIF(B$2:B723,B723))</f>
        <v/>
      </c>
    </row>
    <row r="724" customFormat="false" ht="15" hidden="false" customHeight="false" outlineLevel="0" collapsed="false">
      <c r="A724" s="5"/>
      <c r="B724" s="6"/>
      <c r="C724" s="6"/>
      <c r="D724" s="6"/>
      <c r="E724" s="7" t="str">
        <f aca="false">IF(D724="","",IFERROR(INDEX(Товары!$B$2:$B$200,MATCH(D724,Товары!$A$2:$A$200,0)),"нет в справочнике"))</f>
        <v/>
      </c>
      <c r="F724" s="6"/>
      <c r="G724" s="8" t="str">
        <f aca="false">IF(D724="","",IFERROR(INDEX(Товары!$C$2:$C$200,MATCH(D724,Товары!$A$2:$A$200,0)),0))</f>
        <v/>
      </c>
      <c r="H724" s="8" t="str">
        <f aca="false">IF(D724="","",F724*G724)</f>
        <v/>
      </c>
      <c r="I724" s="8" t="str">
        <f aca="false">IF(D724="","",F724*IFERROR(INDEX(Товары!$D$2:$D$200,MATCH(D724,Товары!$A$2:$A$200,0)),0))</f>
        <v/>
      </c>
      <c r="J724" s="8" t="str">
        <f aca="false">IF(D724="","",H724-I724)</f>
        <v/>
      </c>
      <c r="K724" s="7" t="str">
        <f aca="false">IF(A724="","",MONTH(A724))</f>
        <v/>
      </c>
      <c r="L724" s="7" t="str">
        <f aca="false">IF(A724="","",YEAR(A724))</f>
        <v/>
      </c>
      <c r="M724" s="9" t="str">
        <f aca="false">IF(B724="","",B724&amp;"|"&amp;COUNTIF(B$2:B724,B724))</f>
        <v/>
      </c>
    </row>
    <row r="725" customFormat="false" ht="15" hidden="false" customHeight="false" outlineLevel="0" collapsed="false">
      <c r="A725" s="5"/>
      <c r="B725" s="6"/>
      <c r="C725" s="6"/>
      <c r="D725" s="6"/>
      <c r="E725" s="7" t="str">
        <f aca="false">IF(D725="","",IFERROR(INDEX(Товары!$B$2:$B$200,MATCH(D725,Товары!$A$2:$A$200,0)),"нет в справочнике"))</f>
        <v/>
      </c>
      <c r="F725" s="6"/>
      <c r="G725" s="8" t="str">
        <f aca="false">IF(D725="","",IFERROR(INDEX(Товары!$C$2:$C$200,MATCH(D725,Товары!$A$2:$A$200,0)),0))</f>
        <v/>
      </c>
      <c r="H725" s="8" t="str">
        <f aca="false">IF(D725="","",F725*G725)</f>
        <v/>
      </c>
      <c r="I725" s="8" t="str">
        <f aca="false">IF(D725="","",F725*IFERROR(INDEX(Товары!$D$2:$D$200,MATCH(D725,Товары!$A$2:$A$200,0)),0))</f>
        <v/>
      </c>
      <c r="J725" s="8" t="str">
        <f aca="false">IF(D725="","",H725-I725)</f>
        <v/>
      </c>
      <c r="K725" s="7" t="str">
        <f aca="false">IF(A725="","",MONTH(A725))</f>
        <v/>
      </c>
      <c r="L725" s="7" t="str">
        <f aca="false">IF(A725="","",YEAR(A725))</f>
        <v/>
      </c>
      <c r="M725" s="9" t="str">
        <f aca="false">IF(B725="","",B725&amp;"|"&amp;COUNTIF(B$2:B725,B725))</f>
        <v/>
      </c>
    </row>
    <row r="726" customFormat="false" ht="15" hidden="false" customHeight="false" outlineLevel="0" collapsed="false">
      <c r="A726" s="5"/>
      <c r="B726" s="6"/>
      <c r="C726" s="6"/>
      <c r="D726" s="6"/>
      <c r="E726" s="7" t="str">
        <f aca="false">IF(D726="","",IFERROR(INDEX(Товары!$B$2:$B$200,MATCH(D726,Товары!$A$2:$A$200,0)),"нет в справочнике"))</f>
        <v/>
      </c>
      <c r="F726" s="6"/>
      <c r="G726" s="8" t="str">
        <f aca="false">IF(D726="","",IFERROR(INDEX(Товары!$C$2:$C$200,MATCH(D726,Товары!$A$2:$A$200,0)),0))</f>
        <v/>
      </c>
      <c r="H726" s="8" t="str">
        <f aca="false">IF(D726="","",F726*G726)</f>
        <v/>
      </c>
      <c r="I726" s="8" t="str">
        <f aca="false">IF(D726="","",F726*IFERROR(INDEX(Товары!$D$2:$D$200,MATCH(D726,Товары!$A$2:$A$200,0)),0))</f>
        <v/>
      </c>
      <c r="J726" s="8" t="str">
        <f aca="false">IF(D726="","",H726-I726)</f>
        <v/>
      </c>
      <c r="K726" s="7" t="str">
        <f aca="false">IF(A726="","",MONTH(A726))</f>
        <v/>
      </c>
      <c r="L726" s="7" t="str">
        <f aca="false">IF(A726="","",YEAR(A726))</f>
        <v/>
      </c>
      <c r="M726" s="9" t="str">
        <f aca="false">IF(B726="","",B726&amp;"|"&amp;COUNTIF(B$2:B726,B726))</f>
        <v/>
      </c>
    </row>
    <row r="727" customFormat="false" ht="15" hidden="false" customHeight="false" outlineLevel="0" collapsed="false">
      <c r="A727" s="5"/>
      <c r="B727" s="6"/>
      <c r="C727" s="6"/>
      <c r="D727" s="6"/>
      <c r="E727" s="7" t="str">
        <f aca="false">IF(D727="","",IFERROR(INDEX(Товары!$B$2:$B$200,MATCH(D727,Товары!$A$2:$A$200,0)),"нет в справочнике"))</f>
        <v/>
      </c>
      <c r="F727" s="6"/>
      <c r="G727" s="8" t="str">
        <f aca="false">IF(D727="","",IFERROR(INDEX(Товары!$C$2:$C$200,MATCH(D727,Товары!$A$2:$A$200,0)),0))</f>
        <v/>
      </c>
      <c r="H727" s="8" t="str">
        <f aca="false">IF(D727="","",F727*G727)</f>
        <v/>
      </c>
      <c r="I727" s="8" t="str">
        <f aca="false">IF(D727="","",F727*IFERROR(INDEX(Товары!$D$2:$D$200,MATCH(D727,Товары!$A$2:$A$200,0)),0))</f>
        <v/>
      </c>
      <c r="J727" s="8" t="str">
        <f aca="false">IF(D727="","",H727-I727)</f>
        <v/>
      </c>
      <c r="K727" s="7" t="str">
        <f aca="false">IF(A727="","",MONTH(A727))</f>
        <v/>
      </c>
      <c r="L727" s="7" t="str">
        <f aca="false">IF(A727="","",YEAR(A727))</f>
        <v/>
      </c>
      <c r="M727" s="9" t="str">
        <f aca="false">IF(B727="","",B727&amp;"|"&amp;COUNTIF(B$2:B727,B727))</f>
        <v/>
      </c>
    </row>
    <row r="728" customFormat="false" ht="15" hidden="false" customHeight="false" outlineLevel="0" collapsed="false">
      <c r="A728" s="5"/>
      <c r="B728" s="6"/>
      <c r="C728" s="6"/>
      <c r="D728" s="6"/>
      <c r="E728" s="7" t="str">
        <f aca="false">IF(D728="","",IFERROR(INDEX(Товары!$B$2:$B$200,MATCH(D728,Товары!$A$2:$A$200,0)),"нет в справочнике"))</f>
        <v/>
      </c>
      <c r="F728" s="6"/>
      <c r="G728" s="8" t="str">
        <f aca="false">IF(D728="","",IFERROR(INDEX(Товары!$C$2:$C$200,MATCH(D728,Товары!$A$2:$A$200,0)),0))</f>
        <v/>
      </c>
      <c r="H728" s="8" t="str">
        <f aca="false">IF(D728="","",F728*G728)</f>
        <v/>
      </c>
      <c r="I728" s="8" t="str">
        <f aca="false">IF(D728="","",F728*IFERROR(INDEX(Товары!$D$2:$D$200,MATCH(D728,Товары!$A$2:$A$200,0)),0))</f>
        <v/>
      </c>
      <c r="J728" s="8" t="str">
        <f aca="false">IF(D728="","",H728-I728)</f>
        <v/>
      </c>
      <c r="K728" s="7" t="str">
        <f aca="false">IF(A728="","",MONTH(A728))</f>
        <v/>
      </c>
      <c r="L728" s="7" t="str">
        <f aca="false">IF(A728="","",YEAR(A728))</f>
        <v/>
      </c>
      <c r="M728" s="9" t="str">
        <f aca="false">IF(B728="","",B728&amp;"|"&amp;COUNTIF(B$2:B728,B728))</f>
        <v/>
      </c>
    </row>
    <row r="729" customFormat="false" ht="15" hidden="false" customHeight="false" outlineLevel="0" collapsed="false">
      <c r="A729" s="5"/>
      <c r="B729" s="6"/>
      <c r="C729" s="6"/>
      <c r="D729" s="6"/>
      <c r="E729" s="7" t="str">
        <f aca="false">IF(D729="","",IFERROR(INDEX(Товары!$B$2:$B$200,MATCH(D729,Товары!$A$2:$A$200,0)),"нет в справочнике"))</f>
        <v/>
      </c>
      <c r="F729" s="6"/>
      <c r="G729" s="8" t="str">
        <f aca="false">IF(D729="","",IFERROR(INDEX(Товары!$C$2:$C$200,MATCH(D729,Товары!$A$2:$A$200,0)),0))</f>
        <v/>
      </c>
      <c r="H729" s="8" t="str">
        <f aca="false">IF(D729="","",F729*G729)</f>
        <v/>
      </c>
      <c r="I729" s="8" t="str">
        <f aca="false">IF(D729="","",F729*IFERROR(INDEX(Товары!$D$2:$D$200,MATCH(D729,Товары!$A$2:$A$200,0)),0))</f>
        <v/>
      </c>
      <c r="J729" s="8" t="str">
        <f aca="false">IF(D729="","",H729-I729)</f>
        <v/>
      </c>
      <c r="K729" s="7" t="str">
        <f aca="false">IF(A729="","",MONTH(A729))</f>
        <v/>
      </c>
      <c r="L729" s="7" t="str">
        <f aca="false">IF(A729="","",YEAR(A729))</f>
        <v/>
      </c>
      <c r="M729" s="9" t="str">
        <f aca="false">IF(B729="","",B729&amp;"|"&amp;COUNTIF(B$2:B729,B729))</f>
        <v/>
      </c>
    </row>
    <row r="730" customFormat="false" ht="15" hidden="false" customHeight="false" outlineLevel="0" collapsed="false">
      <c r="A730" s="5"/>
      <c r="B730" s="6"/>
      <c r="C730" s="6"/>
      <c r="D730" s="6"/>
      <c r="E730" s="7" t="str">
        <f aca="false">IF(D730="","",IFERROR(INDEX(Товары!$B$2:$B$200,MATCH(D730,Товары!$A$2:$A$200,0)),"нет в справочнике"))</f>
        <v/>
      </c>
      <c r="F730" s="6"/>
      <c r="G730" s="8" t="str">
        <f aca="false">IF(D730="","",IFERROR(INDEX(Товары!$C$2:$C$200,MATCH(D730,Товары!$A$2:$A$200,0)),0))</f>
        <v/>
      </c>
      <c r="H730" s="8" t="str">
        <f aca="false">IF(D730="","",F730*G730)</f>
        <v/>
      </c>
      <c r="I730" s="8" t="str">
        <f aca="false">IF(D730="","",F730*IFERROR(INDEX(Товары!$D$2:$D$200,MATCH(D730,Товары!$A$2:$A$200,0)),0))</f>
        <v/>
      </c>
      <c r="J730" s="8" t="str">
        <f aca="false">IF(D730="","",H730-I730)</f>
        <v/>
      </c>
      <c r="K730" s="7" t="str">
        <f aca="false">IF(A730="","",MONTH(A730))</f>
        <v/>
      </c>
      <c r="L730" s="7" t="str">
        <f aca="false">IF(A730="","",YEAR(A730))</f>
        <v/>
      </c>
      <c r="M730" s="9" t="str">
        <f aca="false">IF(B730="","",B730&amp;"|"&amp;COUNTIF(B$2:B730,B730))</f>
        <v/>
      </c>
    </row>
    <row r="731" customFormat="false" ht="15" hidden="false" customHeight="false" outlineLevel="0" collapsed="false">
      <c r="A731" s="5"/>
      <c r="B731" s="6"/>
      <c r="C731" s="6"/>
      <c r="D731" s="6"/>
      <c r="E731" s="7" t="str">
        <f aca="false">IF(D731="","",IFERROR(INDEX(Товары!$B$2:$B$200,MATCH(D731,Товары!$A$2:$A$200,0)),"нет в справочнике"))</f>
        <v/>
      </c>
      <c r="F731" s="6"/>
      <c r="G731" s="8" t="str">
        <f aca="false">IF(D731="","",IFERROR(INDEX(Товары!$C$2:$C$200,MATCH(D731,Товары!$A$2:$A$200,0)),0))</f>
        <v/>
      </c>
      <c r="H731" s="8" t="str">
        <f aca="false">IF(D731="","",F731*G731)</f>
        <v/>
      </c>
      <c r="I731" s="8" t="str">
        <f aca="false">IF(D731="","",F731*IFERROR(INDEX(Товары!$D$2:$D$200,MATCH(D731,Товары!$A$2:$A$200,0)),0))</f>
        <v/>
      </c>
      <c r="J731" s="8" t="str">
        <f aca="false">IF(D731="","",H731-I731)</f>
        <v/>
      </c>
      <c r="K731" s="7" t="str">
        <f aca="false">IF(A731="","",MONTH(A731))</f>
        <v/>
      </c>
      <c r="L731" s="7" t="str">
        <f aca="false">IF(A731="","",YEAR(A731))</f>
        <v/>
      </c>
      <c r="M731" s="9" t="str">
        <f aca="false">IF(B731="","",B731&amp;"|"&amp;COUNTIF(B$2:B731,B731))</f>
        <v/>
      </c>
    </row>
    <row r="732" customFormat="false" ht="15" hidden="false" customHeight="false" outlineLevel="0" collapsed="false">
      <c r="A732" s="5"/>
      <c r="B732" s="6"/>
      <c r="C732" s="6"/>
      <c r="D732" s="6"/>
      <c r="E732" s="7" t="str">
        <f aca="false">IF(D732="","",IFERROR(INDEX(Товары!$B$2:$B$200,MATCH(D732,Товары!$A$2:$A$200,0)),"нет в справочнике"))</f>
        <v/>
      </c>
      <c r="F732" s="6"/>
      <c r="G732" s="8" t="str">
        <f aca="false">IF(D732="","",IFERROR(INDEX(Товары!$C$2:$C$200,MATCH(D732,Товары!$A$2:$A$200,0)),0))</f>
        <v/>
      </c>
      <c r="H732" s="8" t="str">
        <f aca="false">IF(D732="","",F732*G732)</f>
        <v/>
      </c>
      <c r="I732" s="8" t="str">
        <f aca="false">IF(D732="","",F732*IFERROR(INDEX(Товары!$D$2:$D$200,MATCH(D732,Товары!$A$2:$A$200,0)),0))</f>
        <v/>
      </c>
      <c r="J732" s="8" t="str">
        <f aca="false">IF(D732="","",H732-I732)</f>
        <v/>
      </c>
      <c r="K732" s="7" t="str">
        <f aca="false">IF(A732="","",MONTH(A732))</f>
        <v/>
      </c>
      <c r="L732" s="7" t="str">
        <f aca="false">IF(A732="","",YEAR(A732))</f>
        <v/>
      </c>
      <c r="M732" s="9" t="str">
        <f aca="false">IF(B732="","",B732&amp;"|"&amp;COUNTIF(B$2:B732,B732))</f>
        <v/>
      </c>
    </row>
    <row r="733" customFormat="false" ht="15" hidden="false" customHeight="false" outlineLevel="0" collapsed="false">
      <c r="A733" s="5"/>
      <c r="B733" s="6"/>
      <c r="C733" s="6"/>
      <c r="D733" s="6"/>
      <c r="E733" s="7" t="str">
        <f aca="false">IF(D733="","",IFERROR(INDEX(Товары!$B$2:$B$200,MATCH(D733,Товары!$A$2:$A$200,0)),"нет в справочнике"))</f>
        <v/>
      </c>
      <c r="F733" s="6"/>
      <c r="G733" s="8" t="str">
        <f aca="false">IF(D733="","",IFERROR(INDEX(Товары!$C$2:$C$200,MATCH(D733,Товары!$A$2:$A$200,0)),0))</f>
        <v/>
      </c>
      <c r="H733" s="8" t="str">
        <f aca="false">IF(D733="","",F733*G733)</f>
        <v/>
      </c>
      <c r="I733" s="8" t="str">
        <f aca="false">IF(D733="","",F733*IFERROR(INDEX(Товары!$D$2:$D$200,MATCH(D733,Товары!$A$2:$A$200,0)),0))</f>
        <v/>
      </c>
      <c r="J733" s="8" t="str">
        <f aca="false">IF(D733="","",H733-I733)</f>
        <v/>
      </c>
      <c r="K733" s="7" t="str">
        <f aca="false">IF(A733="","",MONTH(A733))</f>
        <v/>
      </c>
      <c r="L733" s="7" t="str">
        <f aca="false">IF(A733="","",YEAR(A733))</f>
        <v/>
      </c>
      <c r="M733" s="9" t="str">
        <f aca="false">IF(B733="","",B733&amp;"|"&amp;COUNTIF(B$2:B733,B733))</f>
        <v/>
      </c>
    </row>
    <row r="734" customFormat="false" ht="15" hidden="false" customHeight="false" outlineLevel="0" collapsed="false">
      <c r="A734" s="5"/>
      <c r="B734" s="6"/>
      <c r="C734" s="6"/>
      <c r="D734" s="6"/>
      <c r="E734" s="7" t="str">
        <f aca="false">IF(D734="","",IFERROR(INDEX(Товары!$B$2:$B$200,MATCH(D734,Товары!$A$2:$A$200,0)),"нет в справочнике"))</f>
        <v/>
      </c>
      <c r="F734" s="6"/>
      <c r="G734" s="8" t="str">
        <f aca="false">IF(D734="","",IFERROR(INDEX(Товары!$C$2:$C$200,MATCH(D734,Товары!$A$2:$A$200,0)),0))</f>
        <v/>
      </c>
      <c r="H734" s="8" t="str">
        <f aca="false">IF(D734="","",F734*G734)</f>
        <v/>
      </c>
      <c r="I734" s="8" t="str">
        <f aca="false">IF(D734="","",F734*IFERROR(INDEX(Товары!$D$2:$D$200,MATCH(D734,Товары!$A$2:$A$200,0)),0))</f>
        <v/>
      </c>
      <c r="J734" s="8" t="str">
        <f aca="false">IF(D734="","",H734-I734)</f>
        <v/>
      </c>
      <c r="K734" s="7" t="str">
        <f aca="false">IF(A734="","",MONTH(A734))</f>
        <v/>
      </c>
      <c r="L734" s="7" t="str">
        <f aca="false">IF(A734="","",YEAR(A734))</f>
        <v/>
      </c>
      <c r="M734" s="9" t="str">
        <f aca="false">IF(B734="","",B734&amp;"|"&amp;COUNTIF(B$2:B734,B734))</f>
        <v/>
      </c>
    </row>
    <row r="735" customFormat="false" ht="15" hidden="false" customHeight="false" outlineLevel="0" collapsed="false">
      <c r="A735" s="5"/>
      <c r="B735" s="6"/>
      <c r="C735" s="6"/>
      <c r="D735" s="6"/>
      <c r="E735" s="7" t="str">
        <f aca="false">IF(D735="","",IFERROR(INDEX(Товары!$B$2:$B$200,MATCH(D735,Товары!$A$2:$A$200,0)),"нет в справочнике"))</f>
        <v/>
      </c>
      <c r="F735" s="6"/>
      <c r="G735" s="8" t="str">
        <f aca="false">IF(D735="","",IFERROR(INDEX(Товары!$C$2:$C$200,MATCH(D735,Товары!$A$2:$A$200,0)),0))</f>
        <v/>
      </c>
      <c r="H735" s="8" t="str">
        <f aca="false">IF(D735="","",F735*G735)</f>
        <v/>
      </c>
      <c r="I735" s="8" t="str">
        <f aca="false">IF(D735="","",F735*IFERROR(INDEX(Товары!$D$2:$D$200,MATCH(D735,Товары!$A$2:$A$200,0)),0))</f>
        <v/>
      </c>
      <c r="J735" s="8" t="str">
        <f aca="false">IF(D735="","",H735-I735)</f>
        <v/>
      </c>
      <c r="K735" s="7" t="str">
        <f aca="false">IF(A735="","",MONTH(A735))</f>
        <v/>
      </c>
      <c r="L735" s="7" t="str">
        <f aca="false">IF(A735="","",YEAR(A735))</f>
        <v/>
      </c>
      <c r="M735" s="9" t="str">
        <f aca="false">IF(B735="","",B735&amp;"|"&amp;COUNTIF(B$2:B735,B735))</f>
        <v/>
      </c>
    </row>
    <row r="736" customFormat="false" ht="15" hidden="false" customHeight="false" outlineLevel="0" collapsed="false">
      <c r="A736" s="5"/>
      <c r="B736" s="6"/>
      <c r="C736" s="6"/>
      <c r="D736" s="6"/>
      <c r="E736" s="7" t="str">
        <f aca="false">IF(D736="","",IFERROR(INDEX(Товары!$B$2:$B$200,MATCH(D736,Товары!$A$2:$A$200,0)),"нет в справочнике"))</f>
        <v/>
      </c>
      <c r="F736" s="6"/>
      <c r="G736" s="8" t="str">
        <f aca="false">IF(D736="","",IFERROR(INDEX(Товары!$C$2:$C$200,MATCH(D736,Товары!$A$2:$A$200,0)),0))</f>
        <v/>
      </c>
      <c r="H736" s="8" t="str">
        <f aca="false">IF(D736="","",F736*G736)</f>
        <v/>
      </c>
      <c r="I736" s="8" t="str">
        <f aca="false">IF(D736="","",F736*IFERROR(INDEX(Товары!$D$2:$D$200,MATCH(D736,Товары!$A$2:$A$200,0)),0))</f>
        <v/>
      </c>
      <c r="J736" s="8" t="str">
        <f aca="false">IF(D736="","",H736-I736)</f>
        <v/>
      </c>
      <c r="K736" s="7" t="str">
        <f aca="false">IF(A736="","",MONTH(A736))</f>
        <v/>
      </c>
      <c r="L736" s="7" t="str">
        <f aca="false">IF(A736="","",YEAR(A736))</f>
        <v/>
      </c>
      <c r="M736" s="9" t="str">
        <f aca="false">IF(B736="","",B736&amp;"|"&amp;COUNTIF(B$2:B736,B736))</f>
        <v/>
      </c>
    </row>
    <row r="737" customFormat="false" ht="15" hidden="false" customHeight="false" outlineLevel="0" collapsed="false">
      <c r="A737" s="5"/>
      <c r="B737" s="6"/>
      <c r="C737" s="6"/>
      <c r="D737" s="6"/>
      <c r="E737" s="7" t="str">
        <f aca="false">IF(D737="","",IFERROR(INDEX(Товары!$B$2:$B$200,MATCH(D737,Товары!$A$2:$A$200,0)),"нет в справочнике"))</f>
        <v/>
      </c>
      <c r="F737" s="6"/>
      <c r="G737" s="8" t="str">
        <f aca="false">IF(D737="","",IFERROR(INDEX(Товары!$C$2:$C$200,MATCH(D737,Товары!$A$2:$A$200,0)),0))</f>
        <v/>
      </c>
      <c r="H737" s="8" t="str">
        <f aca="false">IF(D737="","",F737*G737)</f>
        <v/>
      </c>
      <c r="I737" s="8" t="str">
        <f aca="false">IF(D737="","",F737*IFERROR(INDEX(Товары!$D$2:$D$200,MATCH(D737,Товары!$A$2:$A$200,0)),0))</f>
        <v/>
      </c>
      <c r="J737" s="8" t="str">
        <f aca="false">IF(D737="","",H737-I737)</f>
        <v/>
      </c>
      <c r="K737" s="7" t="str">
        <f aca="false">IF(A737="","",MONTH(A737))</f>
        <v/>
      </c>
      <c r="L737" s="7" t="str">
        <f aca="false">IF(A737="","",YEAR(A737))</f>
        <v/>
      </c>
      <c r="M737" s="9" t="str">
        <f aca="false">IF(B737="","",B737&amp;"|"&amp;COUNTIF(B$2:B737,B737))</f>
        <v/>
      </c>
    </row>
    <row r="738" customFormat="false" ht="15" hidden="false" customHeight="false" outlineLevel="0" collapsed="false">
      <c r="A738" s="5"/>
      <c r="B738" s="6"/>
      <c r="C738" s="6"/>
      <c r="D738" s="6"/>
      <c r="E738" s="7" t="str">
        <f aca="false">IF(D738="","",IFERROR(INDEX(Товары!$B$2:$B$200,MATCH(D738,Товары!$A$2:$A$200,0)),"нет в справочнике"))</f>
        <v/>
      </c>
      <c r="F738" s="6"/>
      <c r="G738" s="8" t="str">
        <f aca="false">IF(D738="","",IFERROR(INDEX(Товары!$C$2:$C$200,MATCH(D738,Товары!$A$2:$A$200,0)),0))</f>
        <v/>
      </c>
      <c r="H738" s="8" t="str">
        <f aca="false">IF(D738="","",F738*G738)</f>
        <v/>
      </c>
      <c r="I738" s="8" t="str">
        <f aca="false">IF(D738="","",F738*IFERROR(INDEX(Товары!$D$2:$D$200,MATCH(D738,Товары!$A$2:$A$200,0)),0))</f>
        <v/>
      </c>
      <c r="J738" s="8" t="str">
        <f aca="false">IF(D738="","",H738-I738)</f>
        <v/>
      </c>
      <c r="K738" s="7" t="str">
        <f aca="false">IF(A738="","",MONTH(A738))</f>
        <v/>
      </c>
      <c r="L738" s="7" t="str">
        <f aca="false">IF(A738="","",YEAR(A738))</f>
        <v/>
      </c>
      <c r="M738" s="9" t="str">
        <f aca="false">IF(B738="","",B738&amp;"|"&amp;COUNTIF(B$2:B738,B738))</f>
        <v/>
      </c>
    </row>
    <row r="739" customFormat="false" ht="15" hidden="false" customHeight="false" outlineLevel="0" collapsed="false">
      <c r="A739" s="5"/>
      <c r="B739" s="6"/>
      <c r="C739" s="6"/>
      <c r="D739" s="6"/>
      <c r="E739" s="7" t="str">
        <f aca="false">IF(D739="","",IFERROR(INDEX(Товары!$B$2:$B$200,MATCH(D739,Товары!$A$2:$A$200,0)),"нет в справочнике"))</f>
        <v/>
      </c>
      <c r="F739" s="6"/>
      <c r="G739" s="8" t="str">
        <f aca="false">IF(D739="","",IFERROR(INDEX(Товары!$C$2:$C$200,MATCH(D739,Товары!$A$2:$A$200,0)),0))</f>
        <v/>
      </c>
      <c r="H739" s="8" t="str">
        <f aca="false">IF(D739="","",F739*G739)</f>
        <v/>
      </c>
      <c r="I739" s="8" t="str">
        <f aca="false">IF(D739="","",F739*IFERROR(INDEX(Товары!$D$2:$D$200,MATCH(D739,Товары!$A$2:$A$200,0)),0))</f>
        <v/>
      </c>
      <c r="J739" s="8" t="str">
        <f aca="false">IF(D739="","",H739-I739)</f>
        <v/>
      </c>
      <c r="K739" s="7" t="str">
        <f aca="false">IF(A739="","",MONTH(A739))</f>
        <v/>
      </c>
      <c r="L739" s="7" t="str">
        <f aca="false">IF(A739="","",YEAR(A739))</f>
        <v/>
      </c>
      <c r="M739" s="9" t="str">
        <f aca="false">IF(B739="","",B739&amp;"|"&amp;COUNTIF(B$2:B739,B739))</f>
        <v/>
      </c>
    </row>
    <row r="740" customFormat="false" ht="15" hidden="false" customHeight="false" outlineLevel="0" collapsed="false">
      <c r="A740" s="5"/>
      <c r="B740" s="6"/>
      <c r="C740" s="6"/>
      <c r="D740" s="6"/>
      <c r="E740" s="7" t="str">
        <f aca="false">IF(D740="","",IFERROR(INDEX(Товары!$B$2:$B$200,MATCH(D740,Товары!$A$2:$A$200,0)),"нет в справочнике"))</f>
        <v/>
      </c>
      <c r="F740" s="6"/>
      <c r="G740" s="8" t="str">
        <f aca="false">IF(D740="","",IFERROR(INDEX(Товары!$C$2:$C$200,MATCH(D740,Товары!$A$2:$A$200,0)),0))</f>
        <v/>
      </c>
      <c r="H740" s="8" t="str">
        <f aca="false">IF(D740="","",F740*G740)</f>
        <v/>
      </c>
      <c r="I740" s="8" t="str">
        <f aca="false">IF(D740="","",F740*IFERROR(INDEX(Товары!$D$2:$D$200,MATCH(D740,Товары!$A$2:$A$200,0)),0))</f>
        <v/>
      </c>
      <c r="J740" s="8" t="str">
        <f aca="false">IF(D740="","",H740-I740)</f>
        <v/>
      </c>
      <c r="K740" s="7" t="str">
        <f aca="false">IF(A740="","",MONTH(A740))</f>
        <v/>
      </c>
      <c r="L740" s="7" t="str">
        <f aca="false">IF(A740="","",YEAR(A740))</f>
        <v/>
      </c>
      <c r="M740" s="9" t="str">
        <f aca="false">IF(B740="","",B740&amp;"|"&amp;COUNTIF(B$2:B740,B740))</f>
        <v/>
      </c>
    </row>
    <row r="741" customFormat="false" ht="15" hidden="false" customHeight="false" outlineLevel="0" collapsed="false">
      <c r="A741" s="5"/>
      <c r="B741" s="6"/>
      <c r="C741" s="6"/>
      <c r="D741" s="6"/>
      <c r="E741" s="7" t="str">
        <f aca="false">IF(D741="","",IFERROR(INDEX(Товары!$B$2:$B$200,MATCH(D741,Товары!$A$2:$A$200,0)),"нет в справочнике"))</f>
        <v/>
      </c>
      <c r="F741" s="6"/>
      <c r="G741" s="8" t="str">
        <f aca="false">IF(D741="","",IFERROR(INDEX(Товары!$C$2:$C$200,MATCH(D741,Товары!$A$2:$A$200,0)),0))</f>
        <v/>
      </c>
      <c r="H741" s="8" t="str">
        <f aca="false">IF(D741="","",F741*G741)</f>
        <v/>
      </c>
      <c r="I741" s="8" t="str">
        <f aca="false">IF(D741="","",F741*IFERROR(INDEX(Товары!$D$2:$D$200,MATCH(D741,Товары!$A$2:$A$200,0)),0))</f>
        <v/>
      </c>
      <c r="J741" s="8" t="str">
        <f aca="false">IF(D741="","",H741-I741)</f>
        <v/>
      </c>
      <c r="K741" s="7" t="str">
        <f aca="false">IF(A741="","",MONTH(A741))</f>
        <v/>
      </c>
      <c r="L741" s="7" t="str">
        <f aca="false">IF(A741="","",YEAR(A741))</f>
        <v/>
      </c>
      <c r="M741" s="9" t="str">
        <f aca="false">IF(B741="","",B741&amp;"|"&amp;COUNTIF(B$2:B741,B741))</f>
        <v/>
      </c>
    </row>
    <row r="742" customFormat="false" ht="15" hidden="false" customHeight="false" outlineLevel="0" collapsed="false">
      <c r="A742" s="5"/>
      <c r="B742" s="6"/>
      <c r="C742" s="6"/>
      <c r="D742" s="6"/>
      <c r="E742" s="7" t="str">
        <f aca="false">IF(D742="","",IFERROR(INDEX(Товары!$B$2:$B$200,MATCH(D742,Товары!$A$2:$A$200,0)),"нет в справочнике"))</f>
        <v/>
      </c>
      <c r="F742" s="6"/>
      <c r="G742" s="8" t="str">
        <f aca="false">IF(D742="","",IFERROR(INDEX(Товары!$C$2:$C$200,MATCH(D742,Товары!$A$2:$A$200,0)),0))</f>
        <v/>
      </c>
      <c r="H742" s="8" t="str">
        <f aca="false">IF(D742="","",F742*G742)</f>
        <v/>
      </c>
      <c r="I742" s="8" t="str">
        <f aca="false">IF(D742="","",F742*IFERROR(INDEX(Товары!$D$2:$D$200,MATCH(D742,Товары!$A$2:$A$200,0)),0))</f>
        <v/>
      </c>
      <c r="J742" s="8" t="str">
        <f aca="false">IF(D742="","",H742-I742)</f>
        <v/>
      </c>
      <c r="K742" s="7" t="str">
        <f aca="false">IF(A742="","",MONTH(A742))</f>
        <v/>
      </c>
      <c r="L742" s="7" t="str">
        <f aca="false">IF(A742="","",YEAR(A742))</f>
        <v/>
      </c>
      <c r="M742" s="9" t="str">
        <f aca="false">IF(B742="","",B742&amp;"|"&amp;COUNTIF(B$2:B742,B742))</f>
        <v/>
      </c>
    </row>
    <row r="743" customFormat="false" ht="15" hidden="false" customHeight="false" outlineLevel="0" collapsed="false">
      <c r="A743" s="5"/>
      <c r="B743" s="6"/>
      <c r="C743" s="6"/>
      <c r="D743" s="6"/>
      <c r="E743" s="7" t="str">
        <f aca="false">IF(D743="","",IFERROR(INDEX(Товары!$B$2:$B$200,MATCH(D743,Товары!$A$2:$A$200,0)),"нет в справочнике"))</f>
        <v/>
      </c>
      <c r="F743" s="6"/>
      <c r="G743" s="8" t="str">
        <f aca="false">IF(D743="","",IFERROR(INDEX(Товары!$C$2:$C$200,MATCH(D743,Товары!$A$2:$A$200,0)),0))</f>
        <v/>
      </c>
      <c r="H743" s="8" t="str">
        <f aca="false">IF(D743="","",F743*G743)</f>
        <v/>
      </c>
      <c r="I743" s="8" t="str">
        <f aca="false">IF(D743="","",F743*IFERROR(INDEX(Товары!$D$2:$D$200,MATCH(D743,Товары!$A$2:$A$200,0)),0))</f>
        <v/>
      </c>
      <c r="J743" s="8" t="str">
        <f aca="false">IF(D743="","",H743-I743)</f>
        <v/>
      </c>
      <c r="K743" s="7" t="str">
        <f aca="false">IF(A743="","",MONTH(A743))</f>
        <v/>
      </c>
      <c r="L743" s="7" t="str">
        <f aca="false">IF(A743="","",YEAR(A743))</f>
        <v/>
      </c>
      <c r="M743" s="9" t="str">
        <f aca="false">IF(B743="","",B743&amp;"|"&amp;COUNTIF(B$2:B743,B743))</f>
        <v/>
      </c>
    </row>
    <row r="744" customFormat="false" ht="15" hidden="false" customHeight="false" outlineLevel="0" collapsed="false">
      <c r="A744" s="5"/>
      <c r="B744" s="6"/>
      <c r="C744" s="6"/>
      <c r="D744" s="6"/>
      <c r="E744" s="7" t="str">
        <f aca="false">IF(D744="","",IFERROR(INDEX(Товары!$B$2:$B$200,MATCH(D744,Товары!$A$2:$A$200,0)),"нет в справочнике"))</f>
        <v/>
      </c>
      <c r="F744" s="6"/>
      <c r="G744" s="8" t="str">
        <f aca="false">IF(D744="","",IFERROR(INDEX(Товары!$C$2:$C$200,MATCH(D744,Товары!$A$2:$A$200,0)),0))</f>
        <v/>
      </c>
      <c r="H744" s="8" t="str">
        <f aca="false">IF(D744="","",F744*G744)</f>
        <v/>
      </c>
      <c r="I744" s="8" t="str">
        <f aca="false">IF(D744="","",F744*IFERROR(INDEX(Товары!$D$2:$D$200,MATCH(D744,Товары!$A$2:$A$200,0)),0))</f>
        <v/>
      </c>
      <c r="J744" s="8" t="str">
        <f aca="false">IF(D744="","",H744-I744)</f>
        <v/>
      </c>
      <c r="K744" s="7" t="str">
        <f aca="false">IF(A744="","",MONTH(A744))</f>
        <v/>
      </c>
      <c r="L744" s="7" t="str">
        <f aca="false">IF(A744="","",YEAR(A744))</f>
        <v/>
      </c>
      <c r="M744" s="9" t="str">
        <f aca="false">IF(B744="","",B744&amp;"|"&amp;COUNTIF(B$2:B744,B744))</f>
        <v/>
      </c>
    </row>
    <row r="745" customFormat="false" ht="15" hidden="false" customHeight="false" outlineLevel="0" collapsed="false">
      <c r="A745" s="5"/>
      <c r="B745" s="6"/>
      <c r="C745" s="6"/>
      <c r="D745" s="6"/>
      <c r="E745" s="7" t="str">
        <f aca="false">IF(D745="","",IFERROR(INDEX(Товары!$B$2:$B$200,MATCH(D745,Товары!$A$2:$A$200,0)),"нет в справочнике"))</f>
        <v/>
      </c>
      <c r="F745" s="6"/>
      <c r="G745" s="8" t="str">
        <f aca="false">IF(D745="","",IFERROR(INDEX(Товары!$C$2:$C$200,MATCH(D745,Товары!$A$2:$A$200,0)),0))</f>
        <v/>
      </c>
      <c r="H745" s="8" t="str">
        <f aca="false">IF(D745="","",F745*G745)</f>
        <v/>
      </c>
      <c r="I745" s="8" t="str">
        <f aca="false">IF(D745="","",F745*IFERROR(INDEX(Товары!$D$2:$D$200,MATCH(D745,Товары!$A$2:$A$200,0)),0))</f>
        <v/>
      </c>
      <c r="J745" s="8" t="str">
        <f aca="false">IF(D745="","",H745-I745)</f>
        <v/>
      </c>
      <c r="K745" s="7" t="str">
        <f aca="false">IF(A745="","",MONTH(A745))</f>
        <v/>
      </c>
      <c r="L745" s="7" t="str">
        <f aca="false">IF(A745="","",YEAR(A745))</f>
        <v/>
      </c>
      <c r="M745" s="9" t="str">
        <f aca="false">IF(B745="","",B745&amp;"|"&amp;COUNTIF(B$2:B745,B745))</f>
        <v/>
      </c>
    </row>
    <row r="746" customFormat="false" ht="15" hidden="false" customHeight="false" outlineLevel="0" collapsed="false">
      <c r="A746" s="5"/>
      <c r="B746" s="6"/>
      <c r="C746" s="6"/>
      <c r="D746" s="6"/>
      <c r="E746" s="7" t="str">
        <f aca="false">IF(D746="","",IFERROR(INDEX(Товары!$B$2:$B$200,MATCH(D746,Товары!$A$2:$A$200,0)),"нет в справочнике"))</f>
        <v/>
      </c>
      <c r="F746" s="6"/>
      <c r="G746" s="8" t="str">
        <f aca="false">IF(D746="","",IFERROR(INDEX(Товары!$C$2:$C$200,MATCH(D746,Товары!$A$2:$A$200,0)),0))</f>
        <v/>
      </c>
      <c r="H746" s="8" t="str">
        <f aca="false">IF(D746="","",F746*G746)</f>
        <v/>
      </c>
      <c r="I746" s="8" t="str">
        <f aca="false">IF(D746="","",F746*IFERROR(INDEX(Товары!$D$2:$D$200,MATCH(D746,Товары!$A$2:$A$200,0)),0))</f>
        <v/>
      </c>
      <c r="J746" s="8" t="str">
        <f aca="false">IF(D746="","",H746-I746)</f>
        <v/>
      </c>
      <c r="K746" s="7" t="str">
        <f aca="false">IF(A746="","",MONTH(A746))</f>
        <v/>
      </c>
      <c r="L746" s="7" t="str">
        <f aca="false">IF(A746="","",YEAR(A746))</f>
        <v/>
      </c>
      <c r="M746" s="9" t="str">
        <f aca="false">IF(B746="","",B746&amp;"|"&amp;COUNTIF(B$2:B746,B746))</f>
        <v/>
      </c>
    </row>
    <row r="747" customFormat="false" ht="15" hidden="false" customHeight="false" outlineLevel="0" collapsed="false">
      <c r="A747" s="5"/>
      <c r="B747" s="6"/>
      <c r="C747" s="6"/>
      <c r="D747" s="6"/>
      <c r="E747" s="7" t="str">
        <f aca="false">IF(D747="","",IFERROR(INDEX(Товары!$B$2:$B$200,MATCH(D747,Товары!$A$2:$A$200,0)),"нет в справочнике"))</f>
        <v/>
      </c>
      <c r="F747" s="6"/>
      <c r="G747" s="8" t="str">
        <f aca="false">IF(D747="","",IFERROR(INDEX(Товары!$C$2:$C$200,MATCH(D747,Товары!$A$2:$A$200,0)),0))</f>
        <v/>
      </c>
      <c r="H747" s="8" t="str">
        <f aca="false">IF(D747="","",F747*G747)</f>
        <v/>
      </c>
      <c r="I747" s="8" t="str">
        <f aca="false">IF(D747="","",F747*IFERROR(INDEX(Товары!$D$2:$D$200,MATCH(D747,Товары!$A$2:$A$200,0)),0))</f>
        <v/>
      </c>
      <c r="J747" s="8" t="str">
        <f aca="false">IF(D747="","",H747-I747)</f>
        <v/>
      </c>
      <c r="K747" s="7" t="str">
        <f aca="false">IF(A747="","",MONTH(A747))</f>
        <v/>
      </c>
      <c r="L747" s="7" t="str">
        <f aca="false">IF(A747="","",YEAR(A747))</f>
        <v/>
      </c>
      <c r="M747" s="9" t="str">
        <f aca="false">IF(B747="","",B747&amp;"|"&amp;COUNTIF(B$2:B747,B747))</f>
        <v/>
      </c>
    </row>
    <row r="748" customFormat="false" ht="15" hidden="false" customHeight="false" outlineLevel="0" collapsed="false">
      <c r="A748" s="5"/>
      <c r="B748" s="6"/>
      <c r="C748" s="6"/>
      <c r="D748" s="6"/>
      <c r="E748" s="7" t="str">
        <f aca="false">IF(D748="","",IFERROR(INDEX(Товары!$B$2:$B$200,MATCH(D748,Товары!$A$2:$A$200,0)),"нет в справочнике"))</f>
        <v/>
      </c>
      <c r="F748" s="6"/>
      <c r="G748" s="8" t="str">
        <f aca="false">IF(D748="","",IFERROR(INDEX(Товары!$C$2:$C$200,MATCH(D748,Товары!$A$2:$A$200,0)),0))</f>
        <v/>
      </c>
      <c r="H748" s="8" t="str">
        <f aca="false">IF(D748="","",F748*G748)</f>
        <v/>
      </c>
      <c r="I748" s="8" t="str">
        <f aca="false">IF(D748="","",F748*IFERROR(INDEX(Товары!$D$2:$D$200,MATCH(D748,Товары!$A$2:$A$200,0)),0))</f>
        <v/>
      </c>
      <c r="J748" s="8" t="str">
        <f aca="false">IF(D748="","",H748-I748)</f>
        <v/>
      </c>
      <c r="K748" s="7" t="str">
        <f aca="false">IF(A748="","",MONTH(A748))</f>
        <v/>
      </c>
      <c r="L748" s="7" t="str">
        <f aca="false">IF(A748="","",YEAR(A748))</f>
        <v/>
      </c>
      <c r="M748" s="9" t="str">
        <f aca="false">IF(B748="","",B748&amp;"|"&amp;COUNTIF(B$2:B748,B748))</f>
        <v/>
      </c>
    </row>
    <row r="749" customFormat="false" ht="15" hidden="false" customHeight="false" outlineLevel="0" collapsed="false">
      <c r="A749" s="5"/>
      <c r="B749" s="6"/>
      <c r="C749" s="6"/>
      <c r="D749" s="6"/>
      <c r="E749" s="7" t="str">
        <f aca="false">IF(D749="","",IFERROR(INDEX(Товары!$B$2:$B$200,MATCH(D749,Товары!$A$2:$A$200,0)),"нет в справочнике"))</f>
        <v/>
      </c>
      <c r="F749" s="6"/>
      <c r="G749" s="8" t="str">
        <f aca="false">IF(D749="","",IFERROR(INDEX(Товары!$C$2:$C$200,MATCH(D749,Товары!$A$2:$A$200,0)),0))</f>
        <v/>
      </c>
      <c r="H749" s="8" t="str">
        <f aca="false">IF(D749="","",F749*G749)</f>
        <v/>
      </c>
      <c r="I749" s="8" t="str">
        <f aca="false">IF(D749="","",F749*IFERROR(INDEX(Товары!$D$2:$D$200,MATCH(D749,Товары!$A$2:$A$200,0)),0))</f>
        <v/>
      </c>
      <c r="J749" s="8" t="str">
        <f aca="false">IF(D749="","",H749-I749)</f>
        <v/>
      </c>
      <c r="K749" s="7" t="str">
        <f aca="false">IF(A749="","",MONTH(A749))</f>
        <v/>
      </c>
      <c r="L749" s="7" t="str">
        <f aca="false">IF(A749="","",YEAR(A749))</f>
        <v/>
      </c>
      <c r="M749" s="9" t="str">
        <f aca="false">IF(B749="","",B749&amp;"|"&amp;COUNTIF(B$2:B749,B749))</f>
        <v/>
      </c>
    </row>
    <row r="750" customFormat="false" ht="15" hidden="false" customHeight="false" outlineLevel="0" collapsed="false">
      <c r="A750" s="5"/>
      <c r="B750" s="6"/>
      <c r="C750" s="6"/>
      <c r="D750" s="6"/>
      <c r="E750" s="7" t="str">
        <f aca="false">IF(D750="","",IFERROR(INDEX(Товары!$B$2:$B$200,MATCH(D750,Товары!$A$2:$A$200,0)),"нет в справочнике"))</f>
        <v/>
      </c>
      <c r="F750" s="6"/>
      <c r="G750" s="8" t="str">
        <f aca="false">IF(D750="","",IFERROR(INDEX(Товары!$C$2:$C$200,MATCH(D750,Товары!$A$2:$A$200,0)),0))</f>
        <v/>
      </c>
      <c r="H750" s="8" t="str">
        <f aca="false">IF(D750="","",F750*G750)</f>
        <v/>
      </c>
      <c r="I750" s="8" t="str">
        <f aca="false">IF(D750="","",F750*IFERROR(INDEX(Товары!$D$2:$D$200,MATCH(D750,Товары!$A$2:$A$200,0)),0))</f>
        <v/>
      </c>
      <c r="J750" s="8" t="str">
        <f aca="false">IF(D750="","",H750-I750)</f>
        <v/>
      </c>
      <c r="K750" s="7" t="str">
        <f aca="false">IF(A750="","",MONTH(A750))</f>
        <v/>
      </c>
      <c r="L750" s="7" t="str">
        <f aca="false">IF(A750="","",YEAR(A750))</f>
        <v/>
      </c>
      <c r="M750" s="9" t="str">
        <f aca="false">IF(B750="","",B750&amp;"|"&amp;COUNTIF(B$2:B750,B750))</f>
        <v/>
      </c>
    </row>
    <row r="751" customFormat="false" ht="15" hidden="false" customHeight="false" outlineLevel="0" collapsed="false">
      <c r="A751" s="5"/>
      <c r="B751" s="6"/>
      <c r="C751" s="6"/>
      <c r="D751" s="6"/>
      <c r="E751" s="7" t="str">
        <f aca="false">IF(D751="","",IFERROR(INDEX(Товары!$B$2:$B$200,MATCH(D751,Товары!$A$2:$A$200,0)),"нет в справочнике"))</f>
        <v/>
      </c>
      <c r="F751" s="6"/>
      <c r="G751" s="8" t="str">
        <f aca="false">IF(D751="","",IFERROR(INDEX(Товары!$C$2:$C$200,MATCH(D751,Товары!$A$2:$A$200,0)),0))</f>
        <v/>
      </c>
      <c r="H751" s="8" t="str">
        <f aca="false">IF(D751="","",F751*G751)</f>
        <v/>
      </c>
      <c r="I751" s="8" t="str">
        <f aca="false">IF(D751="","",F751*IFERROR(INDEX(Товары!$D$2:$D$200,MATCH(D751,Товары!$A$2:$A$200,0)),0))</f>
        <v/>
      </c>
      <c r="J751" s="8" t="str">
        <f aca="false">IF(D751="","",H751-I751)</f>
        <v/>
      </c>
      <c r="K751" s="7" t="str">
        <f aca="false">IF(A751="","",MONTH(A751))</f>
        <v/>
      </c>
      <c r="L751" s="7" t="str">
        <f aca="false">IF(A751="","",YEAR(A751))</f>
        <v/>
      </c>
      <c r="M751" s="9" t="str">
        <f aca="false">IF(B751="","",B751&amp;"|"&amp;COUNTIF(B$2:B751,B751))</f>
        <v/>
      </c>
    </row>
    <row r="752" customFormat="false" ht="15" hidden="false" customHeight="false" outlineLevel="0" collapsed="false">
      <c r="A752" s="5"/>
      <c r="B752" s="6"/>
      <c r="C752" s="6"/>
      <c r="D752" s="6"/>
      <c r="E752" s="7" t="str">
        <f aca="false">IF(D752="","",IFERROR(INDEX(Товары!$B$2:$B$200,MATCH(D752,Товары!$A$2:$A$200,0)),"нет в справочнике"))</f>
        <v/>
      </c>
      <c r="F752" s="6"/>
      <c r="G752" s="8" t="str">
        <f aca="false">IF(D752="","",IFERROR(INDEX(Товары!$C$2:$C$200,MATCH(D752,Товары!$A$2:$A$200,0)),0))</f>
        <v/>
      </c>
      <c r="H752" s="8" t="str">
        <f aca="false">IF(D752="","",F752*G752)</f>
        <v/>
      </c>
      <c r="I752" s="8" t="str">
        <f aca="false">IF(D752="","",F752*IFERROR(INDEX(Товары!$D$2:$D$200,MATCH(D752,Товары!$A$2:$A$200,0)),0))</f>
        <v/>
      </c>
      <c r="J752" s="8" t="str">
        <f aca="false">IF(D752="","",H752-I752)</f>
        <v/>
      </c>
      <c r="K752" s="7" t="str">
        <f aca="false">IF(A752="","",MONTH(A752))</f>
        <v/>
      </c>
      <c r="L752" s="7" t="str">
        <f aca="false">IF(A752="","",YEAR(A752))</f>
        <v/>
      </c>
      <c r="M752" s="9" t="str">
        <f aca="false">IF(B752="","",B752&amp;"|"&amp;COUNTIF(B$2:B752,B752))</f>
        <v/>
      </c>
    </row>
    <row r="753" customFormat="false" ht="15" hidden="false" customHeight="false" outlineLevel="0" collapsed="false">
      <c r="A753" s="5"/>
      <c r="B753" s="6"/>
      <c r="C753" s="6"/>
      <c r="D753" s="6"/>
      <c r="E753" s="7" t="str">
        <f aca="false">IF(D753="","",IFERROR(INDEX(Товары!$B$2:$B$200,MATCH(D753,Товары!$A$2:$A$200,0)),"нет в справочнике"))</f>
        <v/>
      </c>
      <c r="F753" s="6"/>
      <c r="G753" s="8" t="str">
        <f aca="false">IF(D753="","",IFERROR(INDEX(Товары!$C$2:$C$200,MATCH(D753,Товары!$A$2:$A$200,0)),0))</f>
        <v/>
      </c>
      <c r="H753" s="8" t="str">
        <f aca="false">IF(D753="","",F753*G753)</f>
        <v/>
      </c>
      <c r="I753" s="8" t="str">
        <f aca="false">IF(D753="","",F753*IFERROR(INDEX(Товары!$D$2:$D$200,MATCH(D753,Товары!$A$2:$A$200,0)),0))</f>
        <v/>
      </c>
      <c r="J753" s="8" t="str">
        <f aca="false">IF(D753="","",H753-I753)</f>
        <v/>
      </c>
      <c r="K753" s="7" t="str">
        <f aca="false">IF(A753="","",MONTH(A753))</f>
        <v/>
      </c>
      <c r="L753" s="7" t="str">
        <f aca="false">IF(A753="","",YEAR(A753))</f>
        <v/>
      </c>
      <c r="M753" s="9" t="str">
        <f aca="false">IF(B753="","",B753&amp;"|"&amp;COUNTIF(B$2:B753,B753))</f>
        <v/>
      </c>
    </row>
    <row r="754" customFormat="false" ht="15" hidden="false" customHeight="false" outlineLevel="0" collapsed="false">
      <c r="A754" s="5"/>
      <c r="B754" s="6"/>
      <c r="C754" s="6"/>
      <c r="D754" s="6"/>
      <c r="E754" s="7" t="str">
        <f aca="false">IF(D754="","",IFERROR(INDEX(Товары!$B$2:$B$200,MATCH(D754,Товары!$A$2:$A$200,0)),"нет в справочнике"))</f>
        <v/>
      </c>
      <c r="F754" s="6"/>
      <c r="G754" s="8" t="str">
        <f aca="false">IF(D754="","",IFERROR(INDEX(Товары!$C$2:$C$200,MATCH(D754,Товары!$A$2:$A$200,0)),0))</f>
        <v/>
      </c>
      <c r="H754" s="8" t="str">
        <f aca="false">IF(D754="","",F754*G754)</f>
        <v/>
      </c>
      <c r="I754" s="8" t="str">
        <f aca="false">IF(D754="","",F754*IFERROR(INDEX(Товары!$D$2:$D$200,MATCH(D754,Товары!$A$2:$A$200,0)),0))</f>
        <v/>
      </c>
      <c r="J754" s="8" t="str">
        <f aca="false">IF(D754="","",H754-I754)</f>
        <v/>
      </c>
      <c r="K754" s="7" t="str">
        <f aca="false">IF(A754="","",MONTH(A754))</f>
        <v/>
      </c>
      <c r="L754" s="7" t="str">
        <f aca="false">IF(A754="","",YEAR(A754))</f>
        <v/>
      </c>
      <c r="M754" s="9" t="str">
        <f aca="false">IF(B754="","",B754&amp;"|"&amp;COUNTIF(B$2:B754,B754))</f>
        <v/>
      </c>
    </row>
    <row r="755" customFormat="false" ht="15" hidden="false" customHeight="false" outlineLevel="0" collapsed="false">
      <c r="A755" s="5"/>
      <c r="B755" s="6"/>
      <c r="C755" s="6"/>
      <c r="D755" s="6"/>
      <c r="E755" s="7" t="str">
        <f aca="false">IF(D755="","",IFERROR(INDEX(Товары!$B$2:$B$200,MATCH(D755,Товары!$A$2:$A$200,0)),"нет в справочнике"))</f>
        <v/>
      </c>
      <c r="F755" s="6"/>
      <c r="G755" s="8" t="str">
        <f aca="false">IF(D755="","",IFERROR(INDEX(Товары!$C$2:$C$200,MATCH(D755,Товары!$A$2:$A$200,0)),0))</f>
        <v/>
      </c>
      <c r="H755" s="8" t="str">
        <f aca="false">IF(D755="","",F755*G755)</f>
        <v/>
      </c>
      <c r="I755" s="8" t="str">
        <f aca="false">IF(D755="","",F755*IFERROR(INDEX(Товары!$D$2:$D$200,MATCH(D755,Товары!$A$2:$A$200,0)),0))</f>
        <v/>
      </c>
      <c r="J755" s="8" t="str">
        <f aca="false">IF(D755="","",H755-I755)</f>
        <v/>
      </c>
      <c r="K755" s="7" t="str">
        <f aca="false">IF(A755="","",MONTH(A755))</f>
        <v/>
      </c>
      <c r="L755" s="7" t="str">
        <f aca="false">IF(A755="","",YEAR(A755))</f>
        <v/>
      </c>
      <c r="M755" s="9" t="str">
        <f aca="false">IF(B755="","",B755&amp;"|"&amp;COUNTIF(B$2:B755,B755))</f>
        <v/>
      </c>
    </row>
    <row r="756" customFormat="false" ht="15" hidden="false" customHeight="false" outlineLevel="0" collapsed="false">
      <c r="A756" s="5"/>
      <c r="B756" s="6"/>
      <c r="C756" s="6"/>
      <c r="D756" s="6"/>
      <c r="E756" s="7" t="str">
        <f aca="false">IF(D756="","",IFERROR(INDEX(Товары!$B$2:$B$200,MATCH(D756,Товары!$A$2:$A$200,0)),"нет в справочнике"))</f>
        <v/>
      </c>
      <c r="F756" s="6"/>
      <c r="G756" s="8" t="str">
        <f aca="false">IF(D756="","",IFERROR(INDEX(Товары!$C$2:$C$200,MATCH(D756,Товары!$A$2:$A$200,0)),0))</f>
        <v/>
      </c>
      <c r="H756" s="8" t="str">
        <f aca="false">IF(D756="","",F756*G756)</f>
        <v/>
      </c>
      <c r="I756" s="8" t="str">
        <f aca="false">IF(D756="","",F756*IFERROR(INDEX(Товары!$D$2:$D$200,MATCH(D756,Товары!$A$2:$A$200,0)),0))</f>
        <v/>
      </c>
      <c r="J756" s="8" t="str">
        <f aca="false">IF(D756="","",H756-I756)</f>
        <v/>
      </c>
      <c r="K756" s="7" t="str">
        <f aca="false">IF(A756="","",MONTH(A756))</f>
        <v/>
      </c>
      <c r="L756" s="7" t="str">
        <f aca="false">IF(A756="","",YEAR(A756))</f>
        <v/>
      </c>
      <c r="M756" s="9" t="str">
        <f aca="false">IF(B756="","",B756&amp;"|"&amp;COUNTIF(B$2:B756,B756))</f>
        <v/>
      </c>
    </row>
    <row r="757" customFormat="false" ht="15" hidden="false" customHeight="false" outlineLevel="0" collapsed="false">
      <c r="A757" s="5"/>
      <c r="B757" s="6"/>
      <c r="C757" s="6"/>
      <c r="D757" s="6"/>
      <c r="E757" s="7" t="str">
        <f aca="false">IF(D757="","",IFERROR(INDEX(Товары!$B$2:$B$200,MATCH(D757,Товары!$A$2:$A$200,0)),"нет в справочнике"))</f>
        <v/>
      </c>
      <c r="F757" s="6"/>
      <c r="G757" s="8" t="str">
        <f aca="false">IF(D757="","",IFERROR(INDEX(Товары!$C$2:$C$200,MATCH(D757,Товары!$A$2:$A$200,0)),0))</f>
        <v/>
      </c>
      <c r="H757" s="8" t="str">
        <f aca="false">IF(D757="","",F757*G757)</f>
        <v/>
      </c>
      <c r="I757" s="8" t="str">
        <f aca="false">IF(D757="","",F757*IFERROR(INDEX(Товары!$D$2:$D$200,MATCH(D757,Товары!$A$2:$A$200,0)),0))</f>
        <v/>
      </c>
      <c r="J757" s="8" t="str">
        <f aca="false">IF(D757="","",H757-I757)</f>
        <v/>
      </c>
      <c r="K757" s="7" t="str">
        <f aca="false">IF(A757="","",MONTH(A757))</f>
        <v/>
      </c>
      <c r="L757" s="7" t="str">
        <f aca="false">IF(A757="","",YEAR(A757))</f>
        <v/>
      </c>
      <c r="M757" s="9" t="str">
        <f aca="false">IF(B757="","",B757&amp;"|"&amp;COUNTIF(B$2:B757,B757))</f>
        <v/>
      </c>
    </row>
    <row r="758" customFormat="false" ht="15" hidden="false" customHeight="false" outlineLevel="0" collapsed="false">
      <c r="A758" s="5"/>
      <c r="B758" s="6"/>
      <c r="C758" s="6"/>
      <c r="D758" s="6"/>
      <c r="E758" s="7" t="str">
        <f aca="false">IF(D758="","",IFERROR(INDEX(Товары!$B$2:$B$200,MATCH(D758,Товары!$A$2:$A$200,0)),"нет в справочнике"))</f>
        <v/>
      </c>
      <c r="F758" s="6"/>
      <c r="G758" s="8" t="str">
        <f aca="false">IF(D758="","",IFERROR(INDEX(Товары!$C$2:$C$200,MATCH(D758,Товары!$A$2:$A$200,0)),0))</f>
        <v/>
      </c>
      <c r="H758" s="8" t="str">
        <f aca="false">IF(D758="","",F758*G758)</f>
        <v/>
      </c>
      <c r="I758" s="8" t="str">
        <f aca="false">IF(D758="","",F758*IFERROR(INDEX(Товары!$D$2:$D$200,MATCH(D758,Товары!$A$2:$A$200,0)),0))</f>
        <v/>
      </c>
      <c r="J758" s="8" t="str">
        <f aca="false">IF(D758="","",H758-I758)</f>
        <v/>
      </c>
      <c r="K758" s="7" t="str">
        <f aca="false">IF(A758="","",MONTH(A758))</f>
        <v/>
      </c>
      <c r="L758" s="7" t="str">
        <f aca="false">IF(A758="","",YEAR(A758))</f>
        <v/>
      </c>
      <c r="M758" s="9" t="str">
        <f aca="false">IF(B758="","",B758&amp;"|"&amp;COUNTIF(B$2:B758,B758))</f>
        <v/>
      </c>
    </row>
    <row r="759" customFormat="false" ht="15" hidden="false" customHeight="false" outlineLevel="0" collapsed="false">
      <c r="A759" s="5"/>
      <c r="B759" s="6"/>
      <c r="C759" s="6"/>
      <c r="D759" s="6"/>
      <c r="E759" s="7" t="str">
        <f aca="false">IF(D759="","",IFERROR(INDEX(Товары!$B$2:$B$200,MATCH(D759,Товары!$A$2:$A$200,0)),"нет в справочнике"))</f>
        <v/>
      </c>
      <c r="F759" s="6"/>
      <c r="G759" s="8" t="str">
        <f aca="false">IF(D759="","",IFERROR(INDEX(Товары!$C$2:$C$200,MATCH(D759,Товары!$A$2:$A$200,0)),0))</f>
        <v/>
      </c>
      <c r="H759" s="8" t="str">
        <f aca="false">IF(D759="","",F759*G759)</f>
        <v/>
      </c>
      <c r="I759" s="8" t="str">
        <f aca="false">IF(D759="","",F759*IFERROR(INDEX(Товары!$D$2:$D$200,MATCH(D759,Товары!$A$2:$A$200,0)),0))</f>
        <v/>
      </c>
      <c r="J759" s="8" t="str">
        <f aca="false">IF(D759="","",H759-I759)</f>
        <v/>
      </c>
      <c r="K759" s="7" t="str">
        <f aca="false">IF(A759="","",MONTH(A759))</f>
        <v/>
      </c>
      <c r="L759" s="7" t="str">
        <f aca="false">IF(A759="","",YEAR(A759))</f>
        <v/>
      </c>
      <c r="M759" s="9" t="str">
        <f aca="false">IF(B759="","",B759&amp;"|"&amp;COUNTIF(B$2:B759,B759))</f>
        <v/>
      </c>
    </row>
    <row r="760" customFormat="false" ht="15" hidden="false" customHeight="false" outlineLevel="0" collapsed="false">
      <c r="A760" s="5"/>
      <c r="B760" s="6"/>
      <c r="C760" s="6"/>
      <c r="D760" s="6"/>
      <c r="E760" s="7" t="str">
        <f aca="false">IF(D760="","",IFERROR(INDEX(Товары!$B$2:$B$200,MATCH(D760,Товары!$A$2:$A$200,0)),"нет в справочнике"))</f>
        <v/>
      </c>
      <c r="F760" s="6"/>
      <c r="G760" s="8" t="str">
        <f aca="false">IF(D760="","",IFERROR(INDEX(Товары!$C$2:$C$200,MATCH(D760,Товары!$A$2:$A$200,0)),0))</f>
        <v/>
      </c>
      <c r="H760" s="8" t="str">
        <f aca="false">IF(D760="","",F760*G760)</f>
        <v/>
      </c>
      <c r="I760" s="8" t="str">
        <f aca="false">IF(D760="","",F760*IFERROR(INDEX(Товары!$D$2:$D$200,MATCH(D760,Товары!$A$2:$A$200,0)),0))</f>
        <v/>
      </c>
      <c r="J760" s="8" t="str">
        <f aca="false">IF(D760="","",H760-I760)</f>
        <v/>
      </c>
      <c r="K760" s="7" t="str">
        <f aca="false">IF(A760="","",MONTH(A760))</f>
        <v/>
      </c>
      <c r="L760" s="7" t="str">
        <f aca="false">IF(A760="","",YEAR(A760))</f>
        <v/>
      </c>
      <c r="M760" s="9" t="str">
        <f aca="false">IF(B760="","",B760&amp;"|"&amp;COUNTIF(B$2:B760,B760))</f>
        <v/>
      </c>
    </row>
    <row r="761" customFormat="false" ht="15" hidden="false" customHeight="false" outlineLevel="0" collapsed="false">
      <c r="A761" s="5"/>
      <c r="B761" s="6"/>
      <c r="C761" s="6"/>
      <c r="D761" s="6"/>
      <c r="E761" s="7" t="str">
        <f aca="false">IF(D761="","",IFERROR(INDEX(Товары!$B$2:$B$200,MATCH(D761,Товары!$A$2:$A$200,0)),"нет в справочнике"))</f>
        <v/>
      </c>
      <c r="F761" s="6"/>
      <c r="G761" s="8" t="str">
        <f aca="false">IF(D761="","",IFERROR(INDEX(Товары!$C$2:$C$200,MATCH(D761,Товары!$A$2:$A$200,0)),0))</f>
        <v/>
      </c>
      <c r="H761" s="8" t="str">
        <f aca="false">IF(D761="","",F761*G761)</f>
        <v/>
      </c>
      <c r="I761" s="8" t="str">
        <f aca="false">IF(D761="","",F761*IFERROR(INDEX(Товары!$D$2:$D$200,MATCH(D761,Товары!$A$2:$A$200,0)),0))</f>
        <v/>
      </c>
      <c r="J761" s="8" t="str">
        <f aca="false">IF(D761="","",H761-I761)</f>
        <v/>
      </c>
      <c r="K761" s="7" t="str">
        <f aca="false">IF(A761="","",MONTH(A761))</f>
        <v/>
      </c>
      <c r="L761" s="7" t="str">
        <f aca="false">IF(A761="","",YEAR(A761))</f>
        <v/>
      </c>
      <c r="M761" s="9" t="str">
        <f aca="false">IF(B761="","",B761&amp;"|"&amp;COUNTIF(B$2:B761,B761))</f>
        <v/>
      </c>
    </row>
    <row r="762" customFormat="false" ht="15" hidden="false" customHeight="false" outlineLevel="0" collapsed="false">
      <c r="A762" s="5"/>
      <c r="B762" s="6"/>
      <c r="C762" s="6"/>
      <c r="D762" s="6"/>
      <c r="E762" s="7" t="str">
        <f aca="false">IF(D762="","",IFERROR(INDEX(Товары!$B$2:$B$200,MATCH(D762,Товары!$A$2:$A$200,0)),"нет в справочнике"))</f>
        <v/>
      </c>
      <c r="F762" s="6"/>
      <c r="G762" s="8" t="str">
        <f aca="false">IF(D762="","",IFERROR(INDEX(Товары!$C$2:$C$200,MATCH(D762,Товары!$A$2:$A$200,0)),0))</f>
        <v/>
      </c>
      <c r="H762" s="8" t="str">
        <f aca="false">IF(D762="","",F762*G762)</f>
        <v/>
      </c>
      <c r="I762" s="8" t="str">
        <f aca="false">IF(D762="","",F762*IFERROR(INDEX(Товары!$D$2:$D$200,MATCH(D762,Товары!$A$2:$A$200,0)),0))</f>
        <v/>
      </c>
      <c r="J762" s="8" t="str">
        <f aca="false">IF(D762="","",H762-I762)</f>
        <v/>
      </c>
      <c r="K762" s="7" t="str">
        <f aca="false">IF(A762="","",MONTH(A762))</f>
        <v/>
      </c>
      <c r="L762" s="7" t="str">
        <f aca="false">IF(A762="","",YEAR(A762))</f>
        <v/>
      </c>
      <c r="M762" s="9" t="str">
        <f aca="false">IF(B762="","",B762&amp;"|"&amp;COUNTIF(B$2:B762,B762))</f>
        <v/>
      </c>
    </row>
    <row r="763" customFormat="false" ht="15" hidden="false" customHeight="false" outlineLevel="0" collapsed="false">
      <c r="A763" s="5"/>
      <c r="B763" s="6"/>
      <c r="C763" s="6"/>
      <c r="D763" s="6"/>
      <c r="E763" s="7" t="str">
        <f aca="false">IF(D763="","",IFERROR(INDEX(Товары!$B$2:$B$200,MATCH(D763,Товары!$A$2:$A$200,0)),"нет в справочнике"))</f>
        <v/>
      </c>
      <c r="F763" s="6"/>
      <c r="G763" s="8" t="str">
        <f aca="false">IF(D763="","",IFERROR(INDEX(Товары!$C$2:$C$200,MATCH(D763,Товары!$A$2:$A$200,0)),0))</f>
        <v/>
      </c>
      <c r="H763" s="8" t="str">
        <f aca="false">IF(D763="","",F763*G763)</f>
        <v/>
      </c>
      <c r="I763" s="8" t="str">
        <f aca="false">IF(D763="","",F763*IFERROR(INDEX(Товары!$D$2:$D$200,MATCH(D763,Товары!$A$2:$A$200,0)),0))</f>
        <v/>
      </c>
      <c r="J763" s="8" t="str">
        <f aca="false">IF(D763="","",H763-I763)</f>
        <v/>
      </c>
      <c r="K763" s="7" t="str">
        <f aca="false">IF(A763="","",MONTH(A763))</f>
        <v/>
      </c>
      <c r="L763" s="7" t="str">
        <f aca="false">IF(A763="","",YEAR(A763))</f>
        <v/>
      </c>
      <c r="M763" s="9" t="str">
        <f aca="false">IF(B763="","",B763&amp;"|"&amp;COUNTIF(B$2:B763,B763))</f>
        <v/>
      </c>
    </row>
    <row r="764" customFormat="false" ht="15" hidden="false" customHeight="false" outlineLevel="0" collapsed="false">
      <c r="A764" s="5"/>
      <c r="B764" s="6"/>
      <c r="C764" s="6"/>
      <c r="D764" s="6"/>
      <c r="E764" s="7" t="str">
        <f aca="false">IF(D764="","",IFERROR(INDEX(Товары!$B$2:$B$200,MATCH(D764,Товары!$A$2:$A$200,0)),"нет в справочнике"))</f>
        <v/>
      </c>
      <c r="F764" s="6"/>
      <c r="G764" s="8" t="str">
        <f aca="false">IF(D764="","",IFERROR(INDEX(Товары!$C$2:$C$200,MATCH(D764,Товары!$A$2:$A$200,0)),0))</f>
        <v/>
      </c>
      <c r="H764" s="8" t="str">
        <f aca="false">IF(D764="","",F764*G764)</f>
        <v/>
      </c>
      <c r="I764" s="8" t="str">
        <f aca="false">IF(D764="","",F764*IFERROR(INDEX(Товары!$D$2:$D$200,MATCH(D764,Товары!$A$2:$A$200,0)),0))</f>
        <v/>
      </c>
      <c r="J764" s="8" t="str">
        <f aca="false">IF(D764="","",H764-I764)</f>
        <v/>
      </c>
      <c r="K764" s="7" t="str">
        <f aca="false">IF(A764="","",MONTH(A764))</f>
        <v/>
      </c>
      <c r="L764" s="7" t="str">
        <f aca="false">IF(A764="","",YEAR(A764))</f>
        <v/>
      </c>
      <c r="M764" s="9" t="str">
        <f aca="false">IF(B764="","",B764&amp;"|"&amp;COUNTIF(B$2:B764,B764))</f>
        <v/>
      </c>
    </row>
    <row r="765" customFormat="false" ht="15" hidden="false" customHeight="false" outlineLevel="0" collapsed="false">
      <c r="A765" s="5"/>
      <c r="B765" s="6"/>
      <c r="C765" s="6"/>
      <c r="D765" s="6"/>
      <c r="E765" s="7" t="str">
        <f aca="false">IF(D765="","",IFERROR(INDEX(Товары!$B$2:$B$200,MATCH(D765,Товары!$A$2:$A$200,0)),"нет в справочнике"))</f>
        <v/>
      </c>
      <c r="F765" s="6"/>
      <c r="G765" s="8" t="str">
        <f aca="false">IF(D765="","",IFERROR(INDEX(Товары!$C$2:$C$200,MATCH(D765,Товары!$A$2:$A$200,0)),0))</f>
        <v/>
      </c>
      <c r="H765" s="8" t="str">
        <f aca="false">IF(D765="","",F765*G765)</f>
        <v/>
      </c>
      <c r="I765" s="8" t="str">
        <f aca="false">IF(D765="","",F765*IFERROR(INDEX(Товары!$D$2:$D$200,MATCH(D765,Товары!$A$2:$A$200,0)),0))</f>
        <v/>
      </c>
      <c r="J765" s="8" t="str">
        <f aca="false">IF(D765="","",H765-I765)</f>
        <v/>
      </c>
      <c r="K765" s="7" t="str">
        <f aca="false">IF(A765="","",MONTH(A765))</f>
        <v/>
      </c>
      <c r="L765" s="7" t="str">
        <f aca="false">IF(A765="","",YEAR(A765))</f>
        <v/>
      </c>
      <c r="M765" s="9" t="str">
        <f aca="false">IF(B765="","",B765&amp;"|"&amp;COUNTIF(B$2:B765,B765))</f>
        <v/>
      </c>
    </row>
    <row r="766" customFormat="false" ht="15" hidden="false" customHeight="false" outlineLevel="0" collapsed="false">
      <c r="A766" s="5"/>
      <c r="B766" s="6"/>
      <c r="C766" s="6"/>
      <c r="D766" s="6"/>
      <c r="E766" s="7" t="str">
        <f aca="false">IF(D766="","",IFERROR(INDEX(Товары!$B$2:$B$200,MATCH(D766,Товары!$A$2:$A$200,0)),"нет в справочнике"))</f>
        <v/>
      </c>
      <c r="F766" s="6"/>
      <c r="G766" s="8" t="str">
        <f aca="false">IF(D766="","",IFERROR(INDEX(Товары!$C$2:$C$200,MATCH(D766,Товары!$A$2:$A$200,0)),0))</f>
        <v/>
      </c>
      <c r="H766" s="8" t="str">
        <f aca="false">IF(D766="","",F766*G766)</f>
        <v/>
      </c>
      <c r="I766" s="8" t="str">
        <f aca="false">IF(D766="","",F766*IFERROR(INDEX(Товары!$D$2:$D$200,MATCH(D766,Товары!$A$2:$A$200,0)),0))</f>
        <v/>
      </c>
      <c r="J766" s="8" t="str">
        <f aca="false">IF(D766="","",H766-I766)</f>
        <v/>
      </c>
      <c r="K766" s="7" t="str">
        <f aca="false">IF(A766="","",MONTH(A766))</f>
        <v/>
      </c>
      <c r="L766" s="7" t="str">
        <f aca="false">IF(A766="","",YEAR(A766))</f>
        <v/>
      </c>
      <c r="M766" s="9" t="str">
        <f aca="false">IF(B766="","",B766&amp;"|"&amp;COUNTIF(B$2:B766,B766))</f>
        <v/>
      </c>
    </row>
    <row r="767" customFormat="false" ht="15" hidden="false" customHeight="false" outlineLevel="0" collapsed="false">
      <c r="A767" s="5"/>
      <c r="B767" s="6"/>
      <c r="C767" s="6"/>
      <c r="D767" s="6"/>
      <c r="E767" s="7" t="str">
        <f aca="false">IF(D767="","",IFERROR(INDEX(Товары!$B$2:$B$200,MATCH(D767,Товары!$A$2:$A$200,0)),"нет в справочнике"))</f>
        <v/>
      </c>
      <c r="F767" s="6"/>
      <c r="G767" s="8" t="str">
        <f aca="false">IF(D767="","",IFERROR(INDEX(Товары!$C$2:$C$200,MATCH(D767,Товары!$A$2:$A$200,0)),0))</f>
        <v/>
      </c>
      <c r="H767" s="8" t="str">
        <f aca="false">IF(D767="","",F767*G767)</f>
        <v/>
      </c>
      <c r="I767" s="8" t="str">
        <f aca="false">IF(D767="","",F767*IFERROR(INDEX(Товары!$D$2:$D$200,MATCH(D767,Товары!$A$2:$A$200,0)),0))</f>
        <v/>
      </c>
      <c r="J767" s="8" t="str">
        <f aca="false">IF(D767="","",H767-I767)</f>
        <v/>
      </c>
      <c r="K767" s="7" t="str">
        <f aca="false">IF(A767="","",MONTH(A767))</f>
        <v/>
      </c>
      <c r="L767" s="7" t="str">
        <f aca="false">IF(A767="","",YEAR(A767))</f>
        <v/>
      </c>
      <c r="M767" s="9" t="str">
        <f aca="false">IF(B767="","",B767&amp;"|"&amp;COUNTIF(B$2:B767,B767))</f>
        <v/>
      </c>
    </row>
    <row r="768" customFormat="false" ht="15" hidden="false" customHeight="false" outlineLevel="0" collapsed="false">
      <c r="A768" s="5"/>
      <c r="B768" s="6"/>
      <c r="C768" s="6"/>
      <c r="D768" s="6"/>
      <c r="E768" s="7" t="str">
        <f aca="false">IF(D768="","",IFERROR(INDEX(Товары!$B$2:$B$200,MATCH(D768,Товары!$A$2:$A$200,0)),"нет в справочнике"))</f>
        <v/>
      </c>
      <c r="F768" s="6"/>
      <c r="G768" s="8" t="str">
        <f aca="false">IF(D768="","",IFERROR(INDEX(Товары!$C$2:$C$200,MATCH(D768,Товары!$A$2:$A$200,0)),0))</f>
        <v/>
      </c>
      <c r="H768" s="8" t="str">
        <f aca="false">IF(D768="","",F768*G768)</f>
        <v/>
      </c>
      <c r="I768" s="8" t="str">
        <f aca="false">IF(D768="","",F768*IFERROR(INDEX(Товары!$D$2:$D$200,MATCH(D768,Товары!$A$2:$A$200,0)),0))</f>
        <v/>
      </c>
      <c r="J768" s="8" t="str">
        <f aca="false">IF(D768="","",H768-I768)</f>
        <v/>
      </c>
      <c r="K768" s="7" t="str">
        <f aca="false">IF(A768="","",MONTH(A768))</f>
        <v/>
      </c>
      <c r="L768" s="7" t="str">
        <f aca="false">IF(A768="","",YEAR(A768))</f>
        <v/>
      </c>
      <c r="M768" s="9" t="str">
        <f aca="false">IF(B768="","",B768&amp;"|"&amp;COUNTIF(B$2:B768,B768))</f>
        <v/>
      </c>
    </row>
    <row r="769" customFormat="false" ht="15" hidden="false" customHeight="false" outlineLevel="0" collapsed="false">
      <c r="A769" s="5"/>
      <c r="B769" s="6"/>
      <c r="C769" s="6"/>
      <c r="D769" s="6"/>
      <c r="E769" s="7" t="str">
        <f aca="false">IF(D769="","",IFERROR(INDEX(Товары!$B$2:$B$200,MATCH(D769,Товары!$A$2:$A$200,0)),"нет в справочнике"))</f>
        <v/>
      </c>
      <c r="F769" s="6"/>
      <c r="G769" s="8" t="str">
        <f aca="false">IF(D769="","",IFERROR(INDEX(Товары!$C$2:$C$200,MATCH(D769,Товары!$A$2:$A$200,0)),0))</f>
        <v/>
      </c>
      <c r="H769" s="8" t="str">
        <f aca="false">IF(D769="","",F769*G769)</f>
        <v/>
      </c>
      <c r="I769" s="8" t="str">
        <f aca="false">IF(D769="","",F769*IFERROR(INDEX(Товары!$D$2:$D$200,MATCH(D769,Товары!$A$2:$A$200,0)),0))</f>
        <v/>
      </c>
      <c r="J769" s="8" t="str">
        <f aca="false">IF(D769="","",H769-I769)</f>
        <v/>
      </c>
      <c r="K769" s="7" t="str">
        <f aca="false">IF(A769="","",MONTH(A769))</f>
        <v/>
      </c>
      <c r="L769" s="7" t="str">
        <f aca="false">IF(A769="","",YEAR(A769))</f>
        <v/>
      </c>
      <c r="M769" s="9" t="str">
        <f aca="false">IF(B769="","",B769&amp;"|"&amp;COUNTIF(B$2:B769,B769))</f>
        <v/>
      </c>
    </row>
    <row r="770" customFormat="false" ht="15" hidden="false" customHeight="false" outlineLevel="0" collapsed="false">
      <c r="A770" s="5"/>
      <c r="B770" s="6"/>
      <c r="C770" s="6"/>
      <c r="D770" s="6"/>
      <c r="E770" s="7" t="str">
        <f aca="false">IF(D770="","",IFERROR(INDEX(Товары!$B$2:$B$200,MATCH(D770,Товары!$A$2:$A$200,0)),"нет в справочнике"))</f>
        <v/>
      </c>
      <c r="F770" s="6"/>
      <c r="G770" s="8" t="str">
        <f aca="false">IF(D770="","",IFERROR(INDEX(Товары!$C$2:$C$200,MATCH(D770,Товары!$A$2:$A$200,0)),0))</f>
        <v/>
      </c>
      <c r="H770" s="8" t="str">
        <f aca="false">IF(D770="","",F770*G770)</f>
        <v/>
      </c>
      <c r="I770" s="8" t="str">
        <f aca="false">IF(D770="","",F770*IFERROR(INDEX(Товары!$D$2:$D$200,MATCH(D770,Товары!$A$2:$A$200,0)),0))</f>
        <v/>
      </c>
      <c r="J770" s="8" t="str">
        <f aca="false">IF(D770="","",H770-I770)</f>
        <v/>
      </c>
      <c r="K770" s="7" t="str">
        <f aca="false">IF(A770="","",MONTH(A770))</f>
        <v/>
      </c>
      <c r="L770" s="7" t="str">
        <f aca="false">IF(A770="","",YEAR(A770))</f>
        <v/>
      </c>
      <c r="M770" s="9" t="str">
        <f aca="false">IF(B770="","",B770&amp;"|"&amp;COUNTIF(B$2:B770,B770))</f>
        <v/>
      </c>
    </row>
    <row r="771" customFormat="false" ht="15" hidden="false" customHeight="false" outlineLevel="0" collapsed="false">
      <c r="A771" s="5"/>
      <c r="B771" s="6"/>
      <c r="C771" s="6"/>
      <c r="D771" s="6"/>
      <c r="E771" s="7" t="str">
        <f aca="false">IF(D771="","",IFERROR(INDEX(Товары!$B$2:$B$200,MATCH(D771,Товары!$A$2:$A$200,0)),"нет в справочнике"))</f>
        <v/>
      </c>
      <c r="F771" s="6"/>
      <c r="G771" s="8" t="str">
        <f aca="false">IF(D771="","",IFERROR(INDEX(Товары!$C$2:$C$200,MATCH(D771,Товары!$A$2:$A$200,0)),0))</f>
        <v/>
      </c>
      <c r="H771" s="8" t="str">
        <f aca="false">IF(D771="","",F771*G771)</f>
        <v/>
      </c>
      <c r="I771" s="8" t="str">
        <f aca="false">IF(D771="","",F771*IFERROR(INDEX(Товары!$D$2:$D$200,MATCH(D771,Товары!$A$2:$A$200,0)),0))</f>
        <v/>
      </c>
      <c r="J771" s="8" t="str">
        <f aca="false">IF(D771="","",H771-I771)</f>
        <v/>
      </c>
      <c r="K771" s="7" t="str">
        <f aca="false">IF(A771="","",MONTH(A771))</f>
        <v/>
      </c>
      <c r="L771" s="7" t="str">
        <f aca="false">IF(A771="","",YEAR(A771))</f>
        <v/>
      </c>
      <c r="M771" s="9" t="str">
        <f aca="false">IF(B771="","",B771&amp;"|"&amp;COUNTIF(B$2:B771,B771))</f>
        <v/>
      </c>
    </row>
    <row r="772" customFormat="false" ht="15" hidden="false" customHeight="false" outlineLevel="0" collapsed="false">
      <c r="A772" s="5"/>
      <c r="B772" s="6"/>
      <c r="C772" s="6"/>
      <c r="D772" s="6"/>
      <c r="E772" s="7" t="str">
        <f aca="false">IF(D772="","",IFERROR(INDEX(Товары!$B$2:$B$200,MATCH(D772,Товары!$A$2:$A$200,0)),"нет в справочнике"))</f>
        <v/>
      </c>
      <c r="F772" s="6"/>
      <c r="G772" s="8" t="str">
        <f aca="false">IF(D772="","",IFERROR(INDEX(Товары!$C$2:$C$200,MATCH(D772,Товары!$A$2:$A$200,0)),0))</f>
        <v/>
      </c>
      <c r="H772" s="8" t="str">
        <f aca="false">IF(D772="","",F772*G772)</f>
        <v/>
      </c>
      <c r="I772" s="8" t="str">
        <f aca="false">IF(D772="","",F772*IFERROR(INDEX(Товары!$D$2:$D$200,MATCH(D772,Товары!$A$2:$A$200,0)),0))</f>
        <v/>
      </c>
      <c r="J772" s="8" t="str">
        <f aca="false">IF(D772="","",H772-I772)</f>
        <v/>
      </c>
      <c r="K772" s="7" t="str">
        <f aca="false">IF(A772="","",MONTH(A772))</f>
        <v/>
      </c>
      <c r="L772" s="7" t="str">
        <f aca="false">IF(A772="","",YEAR(A772))</f>
        <v/>
      </c>
      <c r="M772" s="9" t="str">
        <f aca="false">IF(B772="","",B772&amp;"|"&amp;COUNTIF(B$2:B772,B772))</f>
        <v/>
      </c>
    </row>
    <row r="773" customFormat="false" ht="15" hidden="false" customHeight="false" outlineLevel="0" collapsed="false">
      <c r="A773" s="5"/>
      <c r="B773" s="6"/>
      <c r="C773" s="6"/>
      <c r="D773" s="6"/>
      <c r="E773" s="7" t="str">
        <f aca="false">IF(D773="","",IFERROR(INDEX(Товары!$B$2:$B$200,MATCH(D773,Товары!$A$2:$A$200,0)),"нет в справочнике"))</f>
        <v/>
      </c>
      <c r="F773" s="6"/>
      <c r="G773" s="8" t="str">
        <f aca="false">IF(D773="","",IFERROR(INDEX(Товары!$C$2:$C$200,MATCH(D773,Товары!$A$2:$A$200,0)),0))</f>
        <v/>
      </c>
      <c r="H773" s="8" t="str">
        <f aca="false">IF(D773="","",F773*G773)</f>
        <v/>
      </c>
      <c r="I773" s="8" t="str">
        <f aca="false">IF(D773="","",F773*IFERROR(INDEX(Товары!$D$2:$D$200,MATCH(D773,Товары!$A$2:$A$200,0)),0))</f>
        <v/>
      </c>
      <c r="J773" s="8" t="str">
        <f aca="false">IF(D773="","",H773-I773)</f>
        <v/>
      </c>
      <c r="K773" s="7" t="str">
        <f aca="false">IF(A773="","",MONTH(A773))</f>
        <v/>
      </c>
      <c r="L773" s="7" t="str">
        <f aca="false">IF(A773="","",YEAR(A773))</f>
        <v/>
      </c>
      <c r="M773" s="9" t="str">
        <f aca="false">IF(B773="","",B773&amp;"|"&amp;COUNTIF(B$2:B773,B773))</f>
        <v/>
      </c>
    </row>
    <row r="774" customFormat="false" ht="15" hidden="false" customHeight="false" outlineLevel="0" collapsed="false">
      <c r="A774" s="5"/>
      <c r="B774" s="6"/>
      <c r="C774" s="6"/>
      <c r="D774" s="6"/>
      <c r="E774" s="7" t="str">
        <f aca="false">IF(D774="","",IFERROR(INDEX(Товары!$B$2:$B$200,MATCH(D774,Товары!$A$2:$A$200,0)),"нет в справочнике"))</f>
        <v/>
      </c>
      <c r="F774" s="6"/>
      <c r="G774" s="8" t="str">
        <f aca="false">IF(D774="","",IFERROR(INDEX(Товары!$C$2:$C$200,MATCH(D774,Товары!$A$2:$A$200,0)),0))</f>
        <v/>
      </c>
      <c r="H774" s="8" t="str">
        <f aca="false">IF(D774="","",F774*G774)</f>
        <v/>
      </c>
      <c r="I774" s="8" t="str">
        <f aca="false">IF(D774="","",F774*IFERROR(INDEX(Товары!$D$2:$D$200,MATCH(D774,Товары!$A$2:$A$200,0)),0))</f>
        <v/>
      </c>
      <c r="J774" s="8" t="str">
        <f aca="false">IF(D774="","",H774-I774)</f>
        <v/>
      </c>
      <c r="K774" s="7" t="str">
        <f aca="false">IF(A774="","",MONTH(A774))</f>
        <v/>
      </c>
      <c r="L774" s="7" t="str">
        <f aca="false">IF(A774="","",YEAR(A774))</f>
        <v/>
      </c>
      <c r="M774" s="9" t="str">
        <f aca="false">IF(B774="","",B774&amp;"|"&amp;COUNTIF(B$2:B774,B774))</f>
        <v/>
      </c>
    </row>
    <row r="775" customFormat="false" ht="15" hidden="false" customHeight="false" outlineLevel="0" collapsed="false">
      <c r="A775" s="5"/>
      <c r="B775" s="6"/>
      <c r="C775" s="6"/>
      <c r="D775" s="6"/>
      <c r="E775" s="7" t="str">
        <f aca="false">IF(D775="","",IFERROR(INDEX(Товары!$B$2:$B$200,MATCH(D775,Товары!$A$2:$A$200,0)),"нет в справочнике"))</f>
        <v/>
      </c>
      <c r="F775" s="6"/>
      <c r="G775" s="8" t="str">
        <f aca="false">IF(D775="","",IFERROR(INDEX(Товары!$C$2:$C$200,MATCH(D775,Товары!$A$2:$A$200,0)),0))</f>
        <v/>
      </c>
      <c r="H775" s="8" t="str">
        <f aca="false">IF(D775="","",F775*G775)</f>
        <v/>
      </c>
      <c r="I775" s="8" t="str">
        <f aca="false">IF(D775="","",F775*IFERROR(INDEX(Товары!$D$2:$D$200,MATCH(D775,Товары!$A$2:$A$200,0)),0))</f>
        <v/>
      </c>
      <c r="J775" s="8" t="str">
        <f aca="false">IF(D775="","",H775-I775)</f>
        <v/>
      </c>
      <c r="K775" s="7" t="str">
        <f aca="false">IF(A775="","",MONTH(A775))</f>
        <v/>
      </c>
      <c r="L775" s="7" t="str">
        <f aca="false">IF(A775="","",YEAR(A775))</f>
        <v/>
      </c>
      <c r="M775" s="9" t="str">
        <f aca="false">IF(B775="","",B775&amp;"|"&amp;COUNTIF(B$2:B775,B775))</f>
        <v/>
      </c>
    </row>
    <row r="776" customFormat="false" ht="15" hidden="false" customHeight="false" outlineLevel="0" collapsed="false">
      <c r="A776" s="5"/>
      <c r="B776" s="6"/>
      <c r="C776" s="6"/>
      <c r="D776" s="6"/>
      <c r="E776" s="7" t="str">
        <f aca="false">IF(D776="","",IFERROR(INDEX(Товары!$B$2:$B$200,MATCH(D776,Товары!$A$2:$A$200,0)),"нет в справочнике"))</f>
        <v/>
      </c>
      <c r="F776" s="6"/>
      <c r="G776" s="8" t="str">
        <f aca="false">IF(D776="","",IFERROR(INDEX(Товары!$C$2:$C$200,MATCH(D776,Товары!$A$2:$A$200,0)),0))</f>
        <v/>
      </c>
      <c r="H776" s="8" t="str">
        <f aca="false">IF(D776="","",F776*G776)</f>
        <v/>
      </c>
      <c r="I776" s="8" t="str">
        <f aca="false">IF(D776="","",F776*IFERROR(INDEX(Товары!$D$2:$D$200,MATCH(D776,Товары!$A$2:$A$200,0)),0))</f>
        <v/>
      </c>
      <c r="J776" s="8" t="str">
        <f aca="false">IF(D776="","",H776-I776)</f>
        <v/>
      </c>
      <c r="K776" s="7" t="str">
        <f aca="false">IF(A776="","",MONTH(A776))</f>
        <v/>
      </c>
      <c r="L776" s="7" t="str">
        <f aca="false">IF(A776="","",YEAR(A776))</f>
        <v/>
      </c>
      <c r="M776" s="9" t="str">
        <f aca="false">IF(B776="","",B776&amp;"|"&amp;COUNTIF(B$2:B776,B776))</f>
        <v/>
      </c>
    </row>
    <row r="777" customFormat="false" ht="15" hidden="false" customHeight="false" outlineLevel="0" collapsed="false">
      <c r="A777" s="5"/>
      <c r="B777" s="6"/>
      <c r="C777" s="6"/>
      <c r="D777" s="6"/>
      <c r="E777" s="7" t="str">
        <f aca="false">IF(D777="","",IFERROR(INDEX(Товары!$B$2:$B$200,MATCH(D777,Товары!$A$2:$A$200,0)),"нет в справочнике"))</f>
        <v/>
      </c>
      <c r="F777" s="6"/>
      <c r="G777" s="8" t="str">
        <f aca="false">IF(D777="","",IFERROR(INDEX(Товары!$C$2:$C$200,MATCH(D777,Товары!$A$2:$A$200,0)),0))</f>
        <v/>
      </c>
      <c r="H777" s="8" t="str">
        <f aca="false">IF(D777="","",F777*G777)</f>
        <v/>
      </c>
      <c r="I777" s="8" t="str">
        <f aca="false">IF(D777="","",F777*IFERROR(INDEX(Товары!$D$2:$D$200,MATCH(D777,Товары!$A$2:$A$200,0)),0))</f>
        <v/>
      </c>
      <c r="J777" s="8" t="str">
        <f aca="false">IF(D777="","",H777-I777)</f>
        <v/>
      </c>
      <c r="K777" s="7" t="str">
        <f aca="false">IF(A777="","",MONTH(A777))</f>
        <v/>
      </c>
      <c r="L777" s="7" t="str">
        <f aca="false">IF(A777="","",YEAR(A777))</f>
        <v/>
      </c>
      <c r="M777" s="9" t="str">
        <f aca="false">IF(B777="","",B777&amp;"|"&amp;COUNTIF(B$2:B777,B777))</f>
        <v/>
      </c>
    </row>
    <row r="778" customFormat="false" ht="15" hidden="false" customHeight="false" outlineLevel="0" collapsed="false">
      <c r="A778" s="5"/>
      <c r="B778" s="6"/>
      <c r="C778" s="6"/>
      <c r="D778" s="6"/>
      <c r="E778" s="7" t="str">
        <f aca="false">IF(D778="","",IFERROR(INDEX(Товары!$B$2:$B$200,MATCH(D778,Товары!$A$2:$A$200,0)),"нет в справочнике"))</f>
        <v/>
      </c>
      <c r="F778" s="6"/>
      <c r="G778" s="8" t="str">
        <f aca="false">IF(D778="","",IFERROR(INDEX(Товары!$C$2:$C$200,MATCH(D778,Товары!$A$2:$A$200,0)),0))</f>
        <v/>
      </c>
      <c r="H778" s="8" t="str">
        <f aca="false">IF(D778="","",F778*G778)</f>
        <v/>
      </c>
      <c r="I778" s="8" t="str">
        <f aca="false">IF(D778="","",F778*IFERROR(INDEX(Товары!$D$2:$D$200,MATCH(D778,Товары!$A$2:$A$200,0)),0))</f>
        <v/>
      </c>
      <c r="J778" s="8" t="str">
        <f aca="false">IF(D778="","",H778-I778)</f>
        <v/>
      </c>
      <c r="K778" s="7" t="str">
        <f aca="false">IF(A778="","",MONTH(A778))</f>
        <v/>
      </c>
      <c r="L778" s="7" t="str">
        <f aca="false">IF(A778="","",YEAR(A778))</f>
        <v/>
      </c>
      <c r="M778" s="9" t="str">
        <f aca="false">IF(B778="","",B778&amp;"|"&amp;COUNTIF(B$2:B778,B778))</f>
        <v/>
      </c>
    </row>
    <row r="779" customFormat="false" ht="15" hidden="false" customHeight="false" outlineLevel="0" collapsed="false">
      <c r="A779" s="5"/>
      <c r="B779" s="6"/>
      <c r="C779" s="6"/>
      <c r="D779" s="6"/>
      <c r="E779" s="7" t="str">
        <f aca="false">IF(D779="","",IFERROR(INDEX(Товары!$B$2:$B$200,MATCH(D779,Товары!$A$2:$A$200,0)),"нет в справочнике"))</f>
        <v/>
      </c>
      <c r="F779" s="6"/>
      <c r="G779" s="8" t="str">
        <f aca="false">IF(D779="","",IFERROR(INDEX(Товары!$C$2:$C$200,MATCH(D779,Товары!$A$2:$A$200,0)),0))</f>
        <v/>
      </c>
      <c r="H779" s="8" t="str">
        <f aca="false">IF(D779="","",F779*G779)</f>
        <v/>
      </c>
      <c r="I779" s="8" t="str">
        <f aca="false">IF(D779="","",F779*IFERROR(INDEX(Товары!$D$2:$D$200,MATCH(D779,Товары!$A$2:$A$200,0)),0))</f>
        <v/>
      </c>
      <c r="J779" s="8" t="str">
        <f aca="false">IF(D779="","",H779-I779)</f>
        <v/>
      </c>
      <c r="K779" s="7" t="str">
        <f aca="false">IF(A779="","",MONTH(A779))</f>
        <v/>
      </c>
      <c r="L779" s="7" t="str">
        <f aca="false">IF(A779="","",YEAR(A779))</f>
        <v/>
      </c>
      <c r="M779" s="9" t="str">
        <f aca="false">IF(B779="","",B779&amp;"|"&amp;COUNTIF(B$2:B779,B779))</f>
        <v/>
      </c>
    </row>
    <row r="780" customFormat="false" ht="15" hidden="false" customHeight="false" outlineLevel="0" collapsed="false">
      <c r="A780" s="5"/>
      <c r="B780" s="6"/>
      <c r="C780" s="6"/>
      <c r="D780" s="6"/>
      <c r="E780" s="7" t="str">
        <f aca="false">IF(D780="","",IFERROR(INDEX(Товары!$B$2:$B$200,MATCH(D780,Товары!$A$2:$A$200,0)),"нет в справочнике"))</f>
        <v/>
      </c>
      <c r="F780" s="6"/>
      <c r="G780" s="8" t="str">
        <f aca="false">IF(D780="","",IFERROR(INDEX(Товары!$C$2:$C$200,MATCH(D780,Товары!$A$2:$A$200,0)),0))</f>
        <v/>
      </c>
      <c r="H780" s="8" t="str">
        <f aca="false">IF(D780="","",F780*G780)</f>
        <v/>
      </c>
      <c r="I780" s="8" t="str">
        <f aca="false">IF(D780="","",F780*IFERROR(INDEX(Товары!$D$2:$D$200,MATCH(D780,Товары!$A$2:$A$200,0)),0))</f>
        <v/>
      </c>
      <c r="J780" s="8" t="str">
        <f aca="false">IF(D780="","",H780-I780)</f>
        <v/>
      </c>
      <c r="K780" s="7" t="str">
        <f aca="false">IF(A780="","",MONTH(A780))</f>
        <v/>
      </c>
      <c r="L780" s="7" t="str">
        <f aca="false">IF(A780="","",YEAR(A780))</f>
        <v/>
      </c>
      <c r="M780" s="9" t="str">
        <f aca="false">IF(B780="","",B780&amp;"|"&amp;COUNTIF(B$2:B780,B780))</f>
        <v/>
      </c>
    </row>
    <row r="781" customFormat="false" ht="15" hidden="false" customHeight="false" outlineLevel="0" collapsed="false">
      <c r="A781" s="5"/>
      <c r="B781" s="6"/>
      <c r="C781" s="6"/>
      <c r="D781" s="6"/>
      <c r="E781" s="7" t="str">
        <f aca="false">IF(D781="","",IFERROR(INDEX(Товары!$B$2:$B$200,MATCH(D781,Товары!$A$2:$A$200,0)),"нет в справочнике"))</f>
        <v/>
      </c>
      <c r="F781" s="6"/>
      <c r="G781" s="8" t="str">
        <f aca="false">IF(D781="","",IFERROR(INDEX(Товары!$C$2:$C$200,MATCH(D781,Товары!$A$2:$A$200,0)),0))</f>
        <v/>
      </c>
      <c r="H781" s="8" t="str">
        <f aca="false">IF(D781="","",F781*G781)</f>
        <v/>
      </c>
      <c r="I781" s="8" t="str">
        <f aca="false">IF(D781="","",F781*IFERROR(INDEX(Товары!$D$2:$D$200,MATCH(D781,Товары!$A$2:$A$200,0)),0))</f>
        <v/>
      </c>
      <c r="J781" s="8" t="str">
        <f aca="false">IF(D781="","",H781-I781)</f>
        <v/>
      </c>
      <c r="K781" s="7" t="str">
        <f aca="false">IF(A781="","",MONTH(A781))</f>
        <v/>
      </c>
      <c r="L781" s="7" t="str">
        <f aca="false">IF(A781="","",YEAR(A781))</f>
        <v/>
      </c>
      <c r="M781" s="9" t="str">
        <f aca="false">IF(B781="","",B781&amp;"|"&amp;COUNTIF(B$2:B781,B781))</f>
        <v/>
      </c>
    </row>
    <row r="782" customFormat="false" ht="15" hidden="false" customHeight="false" outlineLevel="0" collapsed="false">
      <c r="A782" s="5"/>
      <c r="B782" s="6"/>
      <c r="C782" s="6"/>
      <c r="D782" s="6"/>
      <c r="E782" s="7" t="str">
        <f aca="false">IF(D782="","",IFERROR(INDEX(Товары!$B$2:$B$200,MATCH(D782,Товары!$A$2:$A$200,0)),"нет в справочнике"))</f>
        <v/>
      </c>
      <c r="F782" s="6"/>
      <c r="G782" s="8" t="str">
        <f aca="false">IF(D782="","",IFERROR(INDEX(Товары!$C$2:$C$200,MATCH(D782,Товары!$A$2:$A$200,0)),0))</f>
        <v/>
      </c>
      <c r="H782" s="8" t="str">
        <f aca="false">IF(D782="","",F782*G782)</f>
        <v/>
      </c>
      <c r="I782" s="8" t="str">
        <f aca="false">IF(D782="","",F782*IFERROR(INDEX(Товары!$D$2:$D$200,MATCH(D782,Товары!$A$2:$A$200,0)),0))</f>
        <v/>
      </c>
      <c r="J782" s="8" t="str">
        <f aca="false">IF(D782="","",H782-I782)</f>
        <v/>
      </c>
      <c r="K782" s="7" t="str">
        <f aca="false">IF(A782="","",MONTH(A782))</f>
        <v/>
      </c>
      <c r="L782" s="7" t="str">
        <f aca="false">IF(A782="","",YEAR(A782))</f>
        <v/>
      </c>
      <c r="M782" s="9" t="str">
        <f aca="false">IF(B782="","",B782&amp;"|"&amp;COUNTIF(B$2:B782,B782))</f>
        <v/>
      </c>
    </row>
    <row r="783" customFormat="false" ht="15" hidden="false" customHeight="false" outlineLevel="0" collapsed="false">
      <c r="A783" s="5"/>
      <c r="B783" s="6"/>
      <c r="C783" s="6"/>
      <c r="D783" s="6"/>
      <c r="E783" s="7" t="str">
        <f aca="false">IF(D783="","",IFERROR(INDEX(Товары!$B$2:$B$200,MATCH(D783,Товары!$A$2:$A$200,0)),"нет в справочнике"))</f>
        <v/>
      </c>
      <c r="F783" s="6"/>
      <c r="G783" s="8" t="str">
        <f aca="false">IF(D783="","",IFERROR(INDEX(Товары!$C$2:$C$200,MATCH(D783,Товары!$A$2:$A$200,0)),0))</f>
        <v/>
      </c>
      <c r="H783" s="8" t="str">
        <f aca="false">IF(D783="","",F783*G783)</f>
        <v/>
      </c>
      <c r="I783" s="8" t="str">
        <f aca="false">IF(D783="","",F783*IFERROR(INDEX(Товары!$D$2:$D$200,MATCH(D783,Товары!$A$2:$A$200,0)),0))</f>
        <v/>
      </c>
      <c r="J783" s="8" t="str">
        <f aca="false">IF(D783="","",H783-I783)</f>
        <v/>
      </c>
      <c r="K783" s="7" t="str">
        <f aca="false">IF(A783="","",MONTH(A783))</f>
        <v/>
      </c>
      <c r="L783" s="7" t="str">
        <f aca="false">IF(A783="","",YEAR(A783))</f>
        <v/>
      </c>
      <c r="M783" s="9" t="str">
        <f aca="false">IF(B783="","",B783&amp;"|"&amp;COUNTIF(B$2:B783,B783))</f>
        <v/>
      </c>
    </row>
    <row r="784" customFormat="false" ht="15" hidden="false" customHeight="false" outlineLevel="0" collapsed="false">
      <c r="A784" s="5"/>
      <c r="B784" s="6"/>
      <c r="C784" s="6"/>
      <c r="D784" s="6"/>
      <c r="E784" s="7" t="str">
        <f aca="false">IF(D784="","",IFERROR(INDEX(Товары!$B$2:$B$200,MATCH(D784,Товары!$A$2:$A$200,0)),"нет в справочнике"))</f>
        <v/>
      </c>
      <c r="F784" s="6"/>
      <c r="G784" s="8" t="str">
        <f aca="false">IF(D784="","",IFERROR(INDEX(Товары!$C$2:$C$200,MATCH(D784,Товары!$A$2:$A$200,0)),0))</f>
        <v/>
      </c>
      <c r="H784" s="8" t="str">
        <f aca="false">IF(D784="","",F784*G784)</f>
        <v/>
      </c>
      <c r="I784" s="8" t="str">
        <f aca="false">IF(D784="","",F784*IFERROR(INDEX(Товары!$D$2:$D$200,MATCH(D784,Товары!$A$2:$A$200,0)),0))</f>
        <v/>
      </c>
      <c r="J784" s="8" t="str">
        <f aca="false">IF(D784="","",H784-I784)</f>
        <v/>
      </c>
      <c r="K784" s="7" t="str">
        <f aca="false">IF(A784="","",MONTH(A784))</f>
        <v/>
      </c>
      <c r="L784" s="7" t="str">
        <f aca="false">IF(A784="","",YEAR(A784))</f>
        <v/>
      </c>
      <c r="M784" s="9" t="str">
        <f aca="false">IF(B784="","",B784&amp;"|"&amp;COUNTIF(B$2:B784,B784))</f>
        <v/>
      </c>
    </row>
    <row r="785" customFormat="false" ht="15" hidden="false" customHeight="false" outlineLevel="0" collapsed="false">
      <c r="A785" s="5"/>
      <c r="B785" s="6"/>
      <c r="C785" s="6"/>
      <c r="D785" s="6"/>
      <c r="E785" s="7" t="str">
        <f aca="false">IF(D785="","",IFERROR(INDEX(Товары!$B$2:$B$200,MATCH(D785,Товары!$A$2:$A$200,0)),"нет в справочнике"))</f>
        <v/>
      </c>
      <c r="F785" s="6"/>
      <c r="G785" s="8" t="str">
        <f aca="false">IF(D785="","",IFERROR(INDEX(Товары!$C$2:$C$200,MATCH(D785,Товары!$A$2:$A$200,0)),0))</f>
        <v/>
      </c>
      <c r="H785" s="8" t="str">
        <f aca="false">IF(D785="","",F785*G785)</f>
        <v/>
      </c>
      <c r="I785" s="8" t="str">
        <f aca="false">IF(D785="","",F785*IFERROR(INDEX(Товары!$D$2:$D$200,MATCH(D785,Товары!$A$2:$A$200,0)),0))</f>
        <v/>
      </c>
      <c r="J785" s="8" t="str">
        <f aca="false">IF(D785="","",H785-I785)</f>
        <v/>
      </c>
      <c r="K785" s="7" t="str">
        <f aca="false">IF(A785="","",MONTH(A785))</f>
        <v/>
      </c>
      <c r="L785" s="7" t="str">
        <f aca="false">IF(A785="","",YEAR(A785))</f>
        <v/>
      </c>
      <c r="M785" s="9" t="str">
        <f aca="false">IF(B785="","",B785&amp;"|"&amp;COUNTIF(B$2:B785,B785))</f>
        <v/>
      </c>
    </row>
    <row r="786" customFormat="false" ht="15" hidden="false" customHeight="false" outlineLevel="0" collapsed="false">
      <c r="A786" s="5"/>
      <c r="B786" s="6"/>
      <c r="C786" s="6"/>
      <c r="D786" s="6"/>
      <c r="E786" s="7" t="str">
        <f aca="false">IF(D786="","",IFERROR(INDEX(Товары!$B$2:$B$200,MATCH(D786,Товары!$A$2:$A$200,0)),"нет в справочнике"))</f>
        <v/>
      </c>
      <c r="F786" s="6"/>
      <c r="G786" s="8" t="str">
        <f aca="false">IF(D786="","",IFERROR(INDEX(Товары!$C$2:$C$200,MATCH(D786,Товары!$A$2:$A$200,0)),0))</f>
        <v/>
      </c>
      <c r="H786" s="8" t="str">
        <f aca="false">IF(D786="","",F786*G786)</f>
        <v/>
      </c>
      <c r="I786" s="8" t="str">
        <f aca="false">IF(D786="","",F786*IFERROR(INDEX(Товары!$D$2:$D$200,MATCH(D786,Товары!$A$2:$A$200,0)),0))</f>
        <v/>
      </c>
      <c r="J786" s="8" t="str">
        <f aca="false">IF(D786="","",H786-I786)</f>
        <v/>
      </c>
      <c r="K786" s="7" t="str">
        <f aca="false">IF(A786="","",MONTH(A786))</f>
        <v/>
      </c>
      <c r="L786" s="7" t="str">
        <f aca="false">IF(A786="","",YEAR(A786))</f>
        <v/>
      </c>
      <c r="M786" s="9" t="str">
        <f aca="false">IF(B786="","",B786&amp;"|"&amp;COUNTIF(B$2:B786,B786))</f>
        <v/>
      </c>
    </row>
    <row r="787" customFormat="false" ht="15" hidden="false" customHeight="false" outlineLevel="0" collapsed="false">
      <c r="A787" s="5"/>
      <c r="B787" s="6"/>
      <c r="C787" s="6"/>
      <c r="D787" s="6"/>
      <c r="E787" s="7" t="str">
        <f aca="false">IF(D787="","",IFERROR(INDEX(Товары!$B$2:$B$200,MATCH(D787,Товары!$A$2:$A$200,0)),"нет в справочнике"))</f>
        <v/>
      </c>
      <c r="F787" s="6"/>
      <c r="G787" s="8" t="str">
        <f aca="false">IF(D787="","",IFERROR(INDEX(Товары!$C$2:$C$200,MATCH(D787,Товары!$A$2:$A$200,0)),0))</f>
        <v/>
      </c>
      <c r="H787" s="8" t="str">
        <f aca="false">IF(D787="","",F787*G787)</f>
        <v/>
      </c>
      <c r="I787" s="8" t="str">
        <f aca="false">IF(D787="","",F787*IFERROR(INDEX(Товары!$D$2:$D$200,MATCH(D787,Товары!$A$2:$A$200,0)),0))</f>
        <v/>
      </c>
      <c r="J787" s="8" t="str">
        <f aca="false">IF(D787="","",H787-I787)</f>
        <v/>
      </c>
      <c r="K787" s="7" t="str">
        <f aca="false">IF(A787="","",MONTH(A787))</f>
        <v/>
      </c>
      <c r="L787" s="7" t="str">
        <f aca="false">IF(A787="","",YEAR(A787))</f>
        <v/>
      </c>
      <c r="M787" s="9" t="str">
        <f aca="false">IF(B787="","",B787&amp;"|"&amp;COUNTIF(B$2:B787,B787))</f>
        <v/>
      </c>
    </row>
    <row r="788" customFormat="false" ht="15" hidden="false" customHeight="false" outlineLevel="0" collapsed="false">
      <c r="A788" s="5"/>
      <c r="B788" s="6"/>
      <c r="C788" s="6"/>
      <c r="D788" s="6"/>
      <c r="E788" s="7" t="str">
        <f aca="false">IF(D788="","",IFERROR(INDEX(Товары!$B$2:$B$200,MATCH(D788,Товары!$A$2:$A$200,0)),"нет в справочнике"))</f>
        <v/>
      </c>
      <c r="F788" s="6"/>
      <c r="G788" s="8" t="str">
        <f aca="false">IF(D788="","",IFERROR(INDEX(Товары!$C$2:$C$200,MATCH(D788,Товары!$A$2:$A$200,0)),0))</f>
        <v/>
      </c>
      <c r="H788" s="8" t="str">
        <f aca="false">IF(D788="","",F788*G788)</f>
        <v/>
      </c>
      <c r="I788" s="8" t="str">
        <f aca="false">IF(D788="","",F788*IFERROR(INDEX(Товары!$D$2:$D$200,MATCH(D788,Товары!$A$2:$A$200,0)),0))</f>
        <v/>
      </c>
      <c r="J788" s="8" t="str">
        <f aca="false">IF(D788="","",H788-I788)</f>
        <v/>
      </c>
      <c r="K788" s="7" t="str">
        <f aca="false">IF(A788="","",MONTH(A788))</f>
        <v/>
      </c>
      <c r="L788" s="7" t="str">
        <f aca="false">IF(A788="","",YEAR(A788))</f>
        <v/>
      </c>
      <c r="M788" s="9" t="str">
        <f aca="false">IF(B788="","",B788&amp;"|"&amp;COUNTIF(B$2:B788,B788))</f>
        <v/>
      </c>
    </row>
    <row r="789" customFormat="false" ht="15" hidden="false" customHeight="false" outlineLevel="0" collapsed="false">
      <c r="A789" s="5"/>
      <c r="B789" s="6"/>
      <c r="C789" s="6"/>
      <c r="D789" s="6"/>
      <c r="E789" s="7" t="str">
        <f aca="false">IF(D789="","",IFERROR(INDEX(Товары!$B$2:$B$200,MATCH(D789,Товары!$A$2:$A$200,0)),"нет в справочнике"))</f>
        <v/>
      </c>
      <c r="F789" s="6"/>
      <c r="G789" s="8" t="str">
        <f aca="false">IF(D789="","",IFERROR(INDEX(Товары!$C$2:$C$200,MATCH(D789,Товары!$A$2:$A$200,0)),0))</f>
        <v/>
      </c>
      <c r="H789" s="8" t="str">
        <f aca="false">IF(D789="","",F789*G789)</f>
        <v/>
      </c>
      <c r="I789" s="8" t="str">
        <f aca="false">IF(D789="","",F789*IFERROR(INDEX(Товары!$D$2:$D$200,MATCH(D789,Товары!$A$2:$A$200,0)),0))</f>
        <v/>
      </c>
      <c r="J789" s="8" t="str">
        <f aca="false">IF(D789="","",H789-I789)</f>
        <v/>
      </c>
      <c r="K789" s="7" t="str">
        <f aca="false">IF(A789="","",MONTH(A789))</f>
        <v/>
      </c>
      <c r="L789" s="7" t="str">
        <f aca="false">IF(A789="","",YEAR(A789))</f>
        <v/>
      </c>
      <c r="M789" s="9" t="str">
        <f aca="false">IF(B789="","",B789&amp;"|"&amp;COUNTIF(B$2:B789,B789))</f>
        <v/>
      </c>
    </row>
    <row r="790" customFormat="false" ht="15" hidden="false" customHeight="false" outlineLevel="0" collapsed="false">
      <c r="A790" s="5"/>
      <c r="B790" s="6"/>
      <c r="C790" s="6"/>
      <c r="D790" s="6"/>
      <c r="E790" s="7" t="str">
        <f aca="false">IF(D790="","",IFERROR(INDEX(Товары!$B$2:$B$200,MATCH(D790,Товары!$A$2:$A$200,0)),"нет в справочнике"))</f>
        <v/>
      </c>
      <c r="F790" s="6"/>
      <c r="G790" s="8" t="str">
        <f aca="false">IF(D790="","",IFERROR(INDEX(Товары!$C$2:$C$200,MATCH(D790,Товары!$A$2:$A$200,0)),0))</f>
        <v/>
      </c>
      <c r="H790" s="8" t="str">
        <f aca="false">IF(D790="","",F790*G790)</f>
        <v/>
      </c>
      <c r="I790" s="8" t="str">
        <f aca="false">IF(D790="","",F790*IFERROR(INDEX(Товары!$D$2:$D$200,MATCH(D790,Товары!$A$2:$A$200,0)),0))</f>
        <v/>
      </c>
      <c r="J790" s="8" t="str">
        <f aca="false">IF(D790="","",H790-I790)</f>
        <v/>
      </c>
      <c r="K790" s="7" t="str">
        <f aca="false">IF(A790="","",MONTH(A790))</f>
        <v/>
      </c>
      <c r="L790" s="7" t="str">
        <f aca="false">IF(A790="","",YEAR(A790))</f>
        <v/>
      </c>
      <c r="M790" s="9" t="str">
        <f aca="false">IF(B790="","",B790&amp;"|"&amp;COUNTIF(B$2:B790,B790))</f>
        <v/>
      </c>
    </row>
    <row r="791" customFormat="false" ht="15" hidden="false" customHeight="false" outlineLevel="0" collapsed="false">
      <c r="A791" s="5"/>
      <c r="B791" s="6"/>
      <c r="C791" s="6"/>
      <c r="D791" s="6"/>
      <c r="E791" s="7" t="str">
        <f aca="false">IF(D791="","",IFERROR(INDEX(Товары!$B$2:$B$200,MATCH(D791,Товары!$A$2:$A$200,0)),"нет в справочнике"))</f>
        <v/>
      </c>
      <c r="F791" s="6"/>
      <c r="G791" s="8" t="str">
        <f aca="false">IF(D791="","",IFERROR(INDEX(Товары!$C$2:$C$200,MATCH(D791,Товары!$A$2:$A$200,0)),0))</f>
        <v/>
      </c>
      <c r="H791" s="8" t="str">
        <f aca="false">IF(D791="","",F791*G791)</f>
        <v/>
      </c>
      <c r="I791" s="8" t="str">
        <f aca="false">IF(D791="","",F791*IFERROR(INDEX(Товары!$D$2:$D$200,MATCH(D791,Товары!$A$2:$A$200,0)),0))</f>
        <v/>
      </c>
      <c r="J791" s="8" t="str">
        <f aca="false">IF(D791="","",H791-I791)</f>
        <v/>
      </c>
      <c r="K791" s="7" t="str">
        <f aca="false">IF(A791="","",MONTH(A791))</f>
        <v/>
      </c>
      <c r="L791" s="7" t="str">
        <f aca="false">IF(A791="","",YEAR(A791))</f>
        <v/>
      </c>
      <c r="M791" s="9" t="str">
        <f aca="false">IF(B791="","",B791&amp;"|"&amp;COUNTIF(B$2:B791,B791))</f>
        <v/>
      </c>
    </row>
    <row r="792" customFormat="false" ht="15" hidden="false" customHeight="false" outlineLevel="0" collapsed="false">
      <c r="A792" s="5"/>
      <c r="B792" s="6"/>
      <c r="C792" s="6"/>
      <c r="D792" s="6"/>
      <c r="E792" s="7" t="str">
        <f aca="false">IF(D792="","",IFERROR(INDEX(Товары!$B$2:$B$200,MATCH(D792,Товары!$A$2:$A$200,0)),"нет в справочнике"))</f>
        <v/>
      </c>
      <c r="F792" s="6"/>
      <c r="G792" s="8" t="str">
        <f aca="false">IF(D792="","",IFERROR(INDEX(Товары!$C$2:$C$200,MATCH(D792,Товары!$A$2:$A$200,0)),0))</f>
        <v/>
      </c>
      <c r="H792" s="8" t="str">
        <f aca="false">IF(D792="","",F792*G792)</f>
        <v/>
      </c>
      <c r="I792" s="8" t="str">
        <f aca="false">IF(D792="","",F792*IFERROR(INDEX(Товары!$D$2:$D$200,MATCH(D792,Товары!$A$2:$A$200,0)),0))</f>
        <v/>
      </c>
      <c r="J792" s="8" t="str">
        <f aca="false">IF(D792="","",H792-I792)</f>
        <v/>
      </c>
      <c r="K792" s="7" t="str">
        <f aca="false">IF(A792="","",MONTH(A792))</f>
        <v/>
      </c>
      <c r="L792" s="7" t="str">
        <f aca="false">IF(A792="","",YEAR(A792))</f>
        <v/>
      </c>
      <c r="M792" s="9" t="str">
        <f aca="false">IF(B792="","",B792&amp;"|"&amp;COUNTIF(B$2:B792,B792))</f>
        <v/>
      </c>
    </row>
    <row r="793" customFormat="false" ht="15" hidden="false" customHeight="false" outlineLevel="0" collapsed="false">
      <c r="A793" s="5"/>
      <c r="B793" s="6"/>
      <c r="C793" s="6"/>
      <c r="D793" s="6"/>
      <c r="E793" s="7" t="str">
        <f aca="false">IF(D793="","",IFERROR(INDEX(Товары!$B$2:$B$200,MATCH(D793,Товары!$A$2:$A$200,0)),"нет в справочнике"))</f>
        <v/>
      </c>
      <c r="F793" s="6"/>
      <c r="G793" s="8" t="str">
        <f aca="false">IF(D793="","",IFERROR(INDEX(Товары!$C$2:$C$200,MATCH(D793,Товары!$A$2:$A$200,0)),0))</f>
        <v/>
      </c>
      <c r="H793" s="8" t="str">
        <f aca="false">IF(D793="","",F793*G793)</f>
        <v/>
      </c>
      <c r="I793" s="8" t="str">
        <f aca="false">IF(D793="","",F793*IFERROR(INDEX(Товары!$D$2:$D$200,MATCH(D793,Товары!$A$2:$A$200,0)),0))</f>
        <v/>
      </c>
      <c r="J793" s="8" t="str">
        <f aca="false">IF(D793="","",H793-I793)</f>
        <v/>
      </c>
      <c r="K793" s="7" t="str">
        <f aca="false">IF(A793="","",MONTH(A793))</f>
        <v/>
      </c>
      <c r="L793" s="7" t="str">
        <f aca="false">IF(A793="","",YEAR(A793))</f>
        <v/>
      </c>
      <c r="M793" s="9" t="str">
        <f aca="false">IF(B793="","",B793&amp;"|"&amp;COUNTIF(B$2:B793,B793))</f>
        <v/>
      </c>
    </row>
    <row r="794" customFormat="false" ht="15" hidden="false" customHeight="false" outlineLevel="0" collapsed="false">
      <c r="A794" s="5"/>
      <c r="B794" s="6"/>
      <c r="C794" s="6"/>
      <c r="D794" s="6"/>
      <c r="E794" s="7" t="str">
        <f aca="false">IF(D794="","",IFERROR(INDEX(Товары!$B$2:$B$200,MATCH(D794,Товары!$A$2:$A$200,0)),"нет в справочнике"))</f>
        <v/>
      </c>
      <c r="F794" s="6"/>
      <c r="G794" s="8" t="str">
        <f aca="false">IF(D794="","",IFERROR(INDEX(Товары!$C$2:$C$200,MATCH(D794,Товары!$A$2:$A$200,0)),0))</f>
        <v/>
      </c>
      <c r="H794" s="8" t="str">
        <f aca="false">IF(D794="","",F794*G794)</f>
        <v/>
      </c>
      <c r="I794" s="8" t="str">
        <f aca="false">IF(D794="","",F794*IFERROR(INDEX(Товары!$D$2:$D$200,MATCH(D794,Товары!$A$2:$A$200,0)),0))</f>
        <v/>
      </c>
      <c r="J794" s="8" t="str">
        <f aca="false">IF(D794="","",H794-I794)</f>
        <v/>
      </c>
      <c r="K794" s="7" t="str">
        <f aca="false">IF(A794="","",MONTH(A794))</f>
        <v/>
      </c>
      <c r="L794" s="7" t="str">
        <f aca="false">IF(A794="","",YEAR(A794))</f>
        <v/>
      </c>
      <c r="M794" s="9" t="str">
        <f aca="false">IF(B794="","",B794&amp;"|"&amp;COUNTIF(B$2:B794,B794))</f>
        <v/>
      </c>
    </row>
    <row r="795" customFormat="false" ht="15" hidden="false" customHeight="false" outlineLevel="0" collapsed="false">
      <c r="A795" s="5"/>
      <c r="B795" s="6"/>
      <c r="C795" s="6"/>
      <c r="D795" s="6"/>
      <c r="E795" s="7" t="str">
        <f aca="false">IF(D795="","",IFERROR(INDEX(Товары!$B$2:$B$200,MATCH(D795,Товары!$A$2:$A$200,0)),"нет в справочнике"))</f>
        <v/>
      </c>
      <c r="F795" s="6"/>
      <c r="G795" s="8" t="str">
        <f aca="false">IF(D795="","",IFERROR(INDEX(Товары!$C$2:$C$200,MATCH(D795,Товары!$A$2:$A$200,0)),0))</f>
        <v/>
      </c>
      <c r="H795" s="8" t="str">
        <f aca="false">IF(D795="","",F795*G795)</f>
        <v/>
      </c>
      <c r="I795" s="8" t="str">
        <f aca="false">IF(D795="","",F795*IFERROR(INDEX(Товары!$D$2:$D$200,MATCH(D795,Товары!$A$2:$A$200,0)),0))</f>
        <v/>
      </c>
      <c r="J795" s="8" t="str">
        <f aca="false">IF(D795="","",H795-I795)</f>
        <v/>
      </c>
      <c r="K795" s="7" t="str">
        <f aca="false">IF(A795="","",MONTH(A795))</f>
        <v/>
      </c>
      <c r="L795" s="7" t="str">
        <f aca="false">IF(A795="","",YEAR(A795))</f>
        <v/>
      </c>
      <c r="M795" s="9" t="str">
        <f aca="false">IF(B795="","",B795&amp;"|"&amp;COUNTIF(B$2:B795,B795))</f>
        <v/>
      </c>
    </row>
    <row r="796" customFormat="false" ht="15" hidden="false" customHeight="false" outlineLevel="0" collapsed="false">
      <c r="A796" s="5"/>
      <c r="B796" s="6"/>
      <c r="C796" s="6"/>
      <c r="D796" s="6"/>
      <c r="E796" s="7" t="str">
        <f aca="false">IF(D796="","",IFERROR(INDEX(Товары!$B$2:$B$200,MATCH(D796,Товары!$A$2:$A$200,0)),"нет в справочнике"))</f>
        <v/>
      </c>
      <c r="F796" s="6"/>
      <c r="G796" s="8" t="str">
        <f aca="false">IF(D796="","",IFERROR(INDEX(Товары!$C$2:$C$200,MATCH(D796,Товары!$A$2:$A$200,0)),0))</f>
        <v/>
      </c>
      <c r="H796" s="8" t="str">
        <f aca="false">IF(D796="","",F796*G796)</f>
        <v/>
      </c>
      <c r="I796" s="8" t="str">
        <f aca="false">IF(D796="","",F796*IFERROR(INDEX(Товары!$D$2:$D$200,MATCH(D796,Товары!$A$2:$A$200,0)),0))</f>
        <v/>
      </c>
      <c r="J796" s="8" t="str">
        <f aca="false">IF(D796="","",H796-I796)</f>
        <v/>
      </c>
      <c r="K796" s="7" t="str">
        <f aca="false">IF(A796="","",MONTH(A796))</f>
        <v/>
      </c>
      <c r="L796" s="7" t="str">
        <f aca="false">IF(A796="","",YEAR(A796))</f>
        <v/>
      </c>
      <c r="M796" s="9" t="str">
        <f aca="false">IF(B796="","",B796&amp;"|"&amp;COUNTIF(B$2:B796,B796))</f>
        <v/>
      </c>
    </row>
    <row r="797" customFormat="false" ht="15" hidden="false" customHeight="false" outlineLevel="0" collapsed="false">
      <c r="A797" s="5"/>
      <c r="B797" s="6"/>
      <c r="C797" s="6"/>
      <c r="D797" s="6"/>
      <c r="E797" s="7" t="str">
        <f aca="false">IF(D797="","",IFERROR(INDEX(Товары!$B$2:$B$200,MATCH(D797,Товары!$A$2:$A$200,0)),"нет в справочнике"))</f>
        <v/>
      </c>
      <c r="F797" s="6"/>
      <c r="G797" s="8" t="str">
        <f aca="false">IF(D797="","",IFERROR(INDEX(Товары!$C$2:$C$200,MATCH(D797,Товары!$A$2:$A$200,0)),0))</f>
        <v/>
      </c>
      <c r="H797" s="8" t="str">
        <f aca="false">IF(D797="","",F797*G797)</f>
        <v/>
      </c>
      <c r="I797" s="8" t="str">
        <f aca="false">IF(D797="","",F797*IFERROR(INDEX(Товары!$D$2:$D$200,MATCH(D797,Товары!$A$2:$A$200,0)),0))</f>
        <v/>
      </c>
      <c r="J797" s="8" t="str">
        <f aca="false">IF(D797="","",H797-I797)</f>
        <v/>
      </c>
      <c r="K797" s="7" t="str">
        <f aca="false">IF(A797="","",MONTH(A797))</f>
        <v/>
      </c>
      <c r="L797" s="7" t="str">
        <f aca="false">IF(A797="","",YEAR(A797))</f>
        <v/>
      </c>
      <c r="M797" s="9" t="str">
        <f aca="false">IF(B797="","",B797&amp;"|"&amp;COUNTIF(B$2:B797,B797))</f>
        <v/>
      </c>
    </row>
    <row r="798" customFormat="false" ht="15" hidden="false" customHeight="false" outlineLevel="0" collapsed="false">
      <c r="A798" s="5"/>
      <c r="B798" s="6"/>
      <c r="C798" s="6"/>
      <c r="D798" s="6"/>
      <c r="E798" s="7" t="str">
        <f aca="false">IF(D798="","",IFERROR(INDEX(Товары!$B$2:$B$200,MATCH(D798,Товары!$A$2:$A$200,0)),"нет в справочнике"))</f>
        <v/>
      </c>
      <c r="F798" s="6"/>
      <c r="G798" s="8" t="str">
        <f aca="false">IF(D798="","",IFERROR(INDEX(Товары!$C$2:$C$200,MATCH(D798,Товары!$A$2:$A$200,0)),0))</f>
        <v/>
      </c>
      <c r="H798" s="8" t="str">
        <f aca="false">IF(D798="","",F798*G798)</f>
        <v/>
      </c>
      <c r="I798" s="8" t="str">
        <f aca="false">IF(D798="","",F798*IFERROR(INDEX(Товары!$D$2:$D$200,MATCH(D798,Товары!$A$2:$A$200,0)),0))</f>
        <v/>
      </c>
      <c r="J798" s="8" t="str">
        <f aca="false">IF(D798="","",H798-I798)</f>
        <v/>
      </c>
      <c r="K798" s="7" t="str">
        <f aca="false">IF(A798="","",MONTH(A798))</f>
        <v/>
      </c>
      <c r="L798" s="7" t="str">
        <f aca="false">IF(A798="","",YEAR(A798))</f>
        <v/>
      </c>
      <c r="M798" s="9" t="str">
        <f aca="false">IF(B798="","",B798&amp;"|"&amp;COUNTIF(B$2:B798,B798))</f>
        <v/>
      </c>
    </row>
    <row r="799" customFormat="false" ht="15" hidden="false" customHeight="false" outlineLevel="0" collapsed="false">
      <c r="A799" s="5"/>
      <c r="B799" s="6"/>
      <c r="C799" s="6"/>
      <c r="D799" s="6"/>
      <c r="E799" s="7" t="str">
        <f aca="false">IF(D799="","",IFERROR(INDEX(Товары!$B$2:$B$200,MATCH(D799,Товары!$A$2:$A$200,0)),"нет в справочнике"))</f>
        <v/>
      </c>
      <c r="F799" s="6"/>
      <c r="G799" s="8" t="str">
        <f aca="false">IF(D799="","",IFERROR(INDEX(Товары!$C$2:$C$200,MATCH(D799,Товары!$A$2:$A$200,0)),0))</f>
        <v/>
      </c>
      <c r="H799" s="8" t="str">
        <f aca="false">IF(D799="","",F799*G799)</f>
        <v/>
      </c>
      <c r="I799" s="8" t="str">
        <f aca="false">IF(D799="","",F799*IFERROR(INDEX(Товары!$D$2:$D$200,MATCH(D799,Товары!$A$2:$A$200,0)),0))</f>
        <v/>
      </c>
      <c r="J799" s="8" t="str">
        <f aca="false">IF(D799="","",H799-I799)</f>
        <v/>
      </c>
      <c r="K799" s="7" t="str">
        <f aca="false">IF(A799="","",MONTH(A799))</f>
        <v/>
      </c>
      <c r="L799" s="7" t="str">
        <f aca="false">IF(A799="","",YEAR(A799))</f>
        <v/>
      </c>
      <c r="M799" s="9" t="str">
        <f aca="false">IF(B799="","",B799&amp;"|"&amp;COUNTIF(B$2:B799,B799))</f>
        <v/>
      </c>
    </row>
    <row r="800" customFormat="false" ht="15" hidden="false" customHeight="false" outlineLevel="0" collapsed="false">
      <c r="A800" s="5"/>
      <c r="B800" s="6"/>
      <c r="C800" s="6"/>
      <c r="D800" s="6"/>
      <c r="E800" s="7" t="str">
        <f aca="false">IF(D800="","",IFERROR(INDEX(Товары!$B$2:$B$200,MATCH(D800,Товары!$A$2:$A$200,0)),"нет в справочнике"))</f>
        <v/>
      </c>
      <c r="F800" s="6"/>
      <c r="G800" s="8" t="str">
        <f aca="false">IF(D800="","",IFERROR(INDEX(Товары!$C$2:$C$200,MATCH(D800,Товары!$A$2:$A$200,0)),0))</f>
        <v/>
      </c>
      <c r="H800" s="8" t="str">
        <f aca="false">IF(D800="","",F800*G800)</f>
        <v/>
      </c>
      <c r="I800" s="8" t="str">
        <f aca="false">IF(D800="","",F800*IFERROR(INDEX(Товары!$D$2:$D$200,MATCH(D800,Товары!$A$2:$A$200,0)),0))</f>
        <v/>
      </c>
      <c r="J800" s="8" t="str">
        <f aca="false">IF(D800="","",H800-I800)</f>
        <v/>
      </c>
      <c r="K800" s="7" t="str">
        <f aca="false">IF(A800="","",MONTH(A800))</f>
        <v/>
      </c>
      <c r="L800" s="7" t="str">
        <f aca="false">IF(A800="","",YEAR(A800))</f>
        <v/>
      </c>
      <c r="M800" s="9" t="str">
        <f aca="false">IF(B800="","",B800&amp;"|"&amp;COUNTIF(B$2:B800,B800))</f>
        <v/>
      </c>
    </row>
    <row r="801" customFormat="false" ht="15" hidden="false" customHeight="false" outlineLevel="0" collapsed="false">
      <c r="A801" s="5"/>
      <c r="B801" s="6"/>
      <c r="C801" s="6"/>
      <c r="D801" s="6"/>
      <c r="E801" s="7" t="str">
        <f aca="false">IF(D801="","",IFERROR(INDEX(Товары!$B$2:$B$200,MATCH(D801,Товары!$A$2:$A$200,0)),"нет в справочнике"))</f>
        <v/>
      </c>
      <c r="F801" s="6"/>
      <c r="G801" s="8" t="str">
        <f aca="false">IF(D801="","",IFERROR(INDEX(Товары!$C$2:$C$200,MATCH(D801,Товары!$A$2:$A$200,0)),0))</f>
        <v/>
      </c>
      <c r="H801" s="8" t="str">
        <f aca="false">IF(D801="","",F801*G801)</f>
        <v/>
      </c>
      <c r="I801" s="8" t="str">
        <f aca="false">IF(D801="","",F801*IFERROR(INDEX(Товары!$D$2:$D$200,MATCH(D801,Товары!$A$2:$A$200,0)),0))</f>
        <v/>
      </c>
      <c r="J801" s="8" t="str">
        <f aca="false">IF(D801="","",H801-I801)</f>
        <v/>
      </c>
      <c r="K801" s="7" t="str">
        <f aca="false">IF(A801="","",MONTH(A801))</f>
        <v/>
      </c>
      <c r="L801" s="7" t="str">
        <f aca="false">IF(A801="","",YEAR(A801))</f>
        <v/>
      </c>
      <c r="M801" s="9" t="str">
        <f aca="false">IF(B801="","",B801&amp;"|"&amp;COUNTIF(B$2:B801,B801))</f>
        <v/>
      </c>
    </row>
    <row r="802" customFormat="false" ht="15" hidden="false" customHeight="false" outlineLevel="0" collapsed="false">
      <c r="A802" s="5"/>
      <c r="B802" s="6"/>
      <c r="C802" s="6"/>
      <c r="D802" s="6"/>
      <c r="E802" s="7" t="str">
        <f aca="false">IF(D802="","",IFERROR(INDEX(Товары!$B$2:$B$200,MATCH(D802,Товары!$A$2:$A$200,0)),"нет в справочнике"))</f>
        <v/>
      </c>
      <c r="F802" s="6"/>
      <c r="G802" s="8" t="str">
        <f aca="false">IF(D802="","",IFERROR(INDEX(Товары!$C$2:$C$200,MATCH(D802,Товары!$A$2:$A$200,0)),0))</f>
        <v/>
      </c>
      <c r="H802" s="8" t="str">
        <f aca="false">IF(D802="","",F802*G802)</f>
        <v/>
      </c>
      <c r="I802" s="8" t="str">
        <f aca="false">IF(D802="","",F802*IFERROR(INDEX(Товары!$D$2:$D$200,MATCH(D802,Товары!$A$2:$A$200,0)),0))</f>
        <v/>
      </c>
      <c r="J802" s="8" t="str">
        <f aca="false">IF(D802="","",H802-I802)</f>
        <v/>
      </c>
      <c r="K802" s="7" t="str">
        <f aca="false">IF(A802="","",MONTH(A802))</f>
        <v/>
      </c>
      <c r="L802" s="7" t="str">
        <f aca="false">IF(A802="","",YEAR(A802))</f>
        <v/>
      </c>
      <c r="M802" s="9" t="str">
        <f aca="false">IF(B802="","",B802&amp;"|"&amp;COUNTIF(B$2:B802,B802))</f>
        <v/>
      </c>
    </row>
    <row r="803" customFormat="false" ht="15" hidden="false" customHeight="false" outlineLevel="0" collapsed="false">
      <c r="A803" s="5"/>
      <c r="B803" s="6"/>
      <c r="C803" s="6"/>
      <c r="D803" s="6"/>
      <c r="E803" s="7" t="str">
        <f aca="false">IF(D803="","",IFERROR(INDEX(Товары!$B$2:$B$200,MATCH(D803,Товары!$A$2:$A$200,0)),"нет в справочнике"))</f>
        <v/>
      </c>
      <c r="F803" s="6"/>
      <c r="G803" s="8" t="str">
        <f aca="false">IF(D803="","",IFERROR(INDEX(Товары!$C$2:$C$200,MATCH(D803,Товары!$A$2:$A$200,0)),0))</f>
        <v/>
      </c>
      <c r="H803" s="8" t="str">
        <f aca="false">IF(D803="","",F803*G803)</f>
        <v/>
      </c>
      <c r="I803" s="8" t="str">
        <f aca="false">IF(D803="","",F803*IFERROR(INDEX(Товары!$D$2:$D$200,MATCH(D803,Товары!$A$2:$A$200,0)),0))</f>
        <v/>
      </c>
      <c r="J803" s="8" t="str">
        <f aca="false">IF(D803="","",H803-I803)</f>
        <v/>
      </c>
      <c r="K803" s="7" t="str">
        <f aca="false">IF(A803="","",MONTH(A803))</f>
        <v/>
      </c>
      <c r="L803" s="7" t="str">
        <f aca="false">IF(A803="","",YEAR(A803))</f>
        <v/>
      </c>
      <c r="M803" s="9" t="str">
        <f aca="false">IF(B803="","",B803&amp;"|"&amp;COUNTIF(B$2:B803,B803))</f>
        <v/>
      </c>
    </row>
    <row r="804" customFormat="false" ht="15" hidden="false" customHeight="false" outlineLevel="0" collapsed="false">
      <c r="A804" s="5"/>
      <c r="B804" s="6"/>
      <c r="C804" s="6"/>
      <c r="D804" s="6"/>
      <c r="E804" s="7" t="str">
        <f aca="false">IF(D804="","",IFERROR(INDEX(Товары!$B$2:$B$200,MATCH(D804,Товары!$A$2:$A$200,0)),"нет в справочнике"))</f>
        <v/>
      </c>
      <c r="F804" s="6"/>
      <c r="G804" s="8" t="str">
        <f aca="false">IF(D804="","",IFERROR(INDEX(Товары!$C$2:$C$200,MATCH(D804,Товары!$A$2:$A$200,0)),0))</f>
        <v/>
      </c>
      <c r="H804" s="8" t="str">
        <f aca="false">IF(D804="","",F804*G804)</f>
        <v/>
      </c>
      <c r="I804" s="8" t="str">
        <f aca="false">IF(D804="","",F804*IFERROR(INDEX(Товары!$D$2:$D$200,MATCH(D804,Товары!$A$2:$A$200,0)),0))</f>
        <v/>
      </c>
      <c r="J804" s="8" t="str">
        <f aca="false">IF(D804="","",H804-I804)</f>
        <v/>
      </c>
      <c r="K804" s="7" t="str">
        <f aca="false">IF(A804="","",MONTH(A804))</f>
        <v/>
      </c>
      <c r="L804" s="7" t="str">
        <f aca="false">IF(A804="","",YEAR(A804))</f>
        <v/>
      </c>
      <c r="M804" s="9" t="str">
        <f aca="false">IF(B804="","",B804&amp;"|"&amp;COUNTIF(B$2:B804,B804))</f>
        <v/>
      </c>
    </row>
    <row r="805" customFormat="false" ht="15" hidden="false" customHeight="false" outlineLevel="0" collapsed="false">
      <c r="A805" s="5"/>
      <c r="B805" s="6"/>
      <c r="C805" s="6"/>
      <c r="D805" s="6"/>
      <c r="E805" s="7" t="str">
        <f aca="false">IF(D805="","",IFERROR(INDEX(Товары!$B$2:$B$200,MATCH(D805,Товары!$A$2:$A$200,0)),"нет в справочнике"))</f>
        <v/>
      </c>
      <c r="F805" s="6"/>
      <c r="G805" s="8" t="str">
        <f aca="false">IF(D805="","",IFERROR(INDEX(Товары!$C$2:$C$200,MATCH(D805,Товары!$A$2:$A$200,0)),0))</f>
        <v/>
      </c>
      <c r="H805" s="8" t="str">
        <f aca="false">IF(D805="","",F805*G805)</f>
        <v/>
      </c>
      <c r="I805" s="8" t="str">
        <f aca="false">IF(D805="","",F805*IFERROR(INDEX(Товары!$D$2:$D$200,MATCH(D805,Товары!$A$2:$A$200,0)),0))</f>
        <v/>
      </c>
      <c r="J805" s="8" t="str">
        <f aca="false">IF(D805="","",H805-I805)</f>
        <v/>
      </c>
      <c r="K805" s="7" t="str">
        <f aca="false">IF(A805="","",MONTH(A805))</f>
        <v/>
      </c>
      <c r="L805" s="7" t="str">
        <f aca="false">IF(A805="","",YEAR(A805))</f>
        <v/>
      </c>
      <c r="M805" s="9" t="str">
        <f aca="false">IF(B805="","",B805&amp;"|"&amp;COUNTIF(B$2:B805,B805))</f>
        <v/>
      </c>
    </row>
    <row r="806" customFormat="false" ht="15" hidden="false" customHeight="false" outlineLevel="0" collapsed="false">
      <c r="A806" s="5"/>
      <c r="B806" s="6"/>
      <c r="C806" s="6"/>
      <c r="D806" s="6"/>
      <c r="E806" s="7" t="str">
        <f aca="false">IF(D806="","",IFERROR(INDEX(Товары!$B$2:$B$200,MATCH(D806,Товары!$A$2:$A$200,0)),"нет в справочнике"))</f>
        <v/>
      </c>
      <c r="F806" s="6"/>
      <c r="G806" s="8" t="str">
        <f aca="false">IF(D806="","",IFERROR(INDEX(Товары!$C$2:$C$200,MATCH(D806,Товары!$A$2:$A$200,0)),0))</f>
        <v/>
      </c>
      <c r="H806" s="8" t="str">
        <f aca="false">IF(D806="","",F806*G806)</f>
        <v/>
      </c>
      <c r="I806" s="8" t="str">
        <f aca="false">IF(D806="","",F806*IFERROR(INDEX(Товары!$D$2:$D$200,MATCH(D806,Товары!$A$2:$A$200,0)),0))</f>
        <v/>
      </c>
      <c r="J806" s="8" t="str">
        <f aca="false">IF(D806="","",H806-I806)</f>
        <v/>
      </c>
      <c r="K806" s="7" t="str">
        <f aca="false">IF(A806="","",MONTH(A806))</f>
        <v/>
      </c>
      <c r="L806" s="7" t="str">
        <f aca="false">IF(A806="","",YEAR(A806))</f>
        <v/>
      </c>
      <c r="M806" s="9" t="str">
        <f aca="false">IF(B806="","",B806&amp;"|"&amp;COUNTIF(B$2:B806,B806))</f>
        <v/>
      </c>
    </row>
    <row r="807" customFormat="false" ht="15" hidden="false" customHeight="false" outlineLevel="0" collapsed="false">
      <c r="A807" s="5"/>
      <c r="B807" s="6"/>
      <c r="C807" s="6"/>
      <c r="D807" s="6"/>
      <c r="E807" s="7" t="str">
        <f aca="false">IF(D807="","",IFERROR(INDEX(Товары!$B$2:$B$200,MATCH(D807,Товары!$A$2:$A$200,0)),"нет в справочнике"))</f>
        <v/>
      </c>
      <c r="F807" s="6"/>
      <c r="G807" s="8" t="str">
        <f aca="false">IF(D807="","",IFERROR(INDEX(Товары!$C$2:$C$200,MATCH(D807,Товары!$A$2:$A$200,0)),0))</f>
        <v/>
      </c>
      <c r="H807" s="8" t="str">
        <f aca="false">IF(D807="","",F807*G807)</f>
        <v/>
      </c>
      <c r="I807" s="8" t="str">
        <f aca="false">IF(D807="","",F807*IFERROR(INDEX(Товары!$D$2:$D$200,MATCH(D807,Товары!$A$2:$A$200,0)),0))</f>
        <v/>
      </c>
      <c r="J807" s="8" t="str">
        <f aca="false">IF(D807="","",H807-I807)</f>
        <v/>
      </c>
      <c r="K807" s="7" t="str">
        <f aca="false">IF(A807="","",MONTH(A807))</f>
        <v/>
      </c>
      <c r="L807" s="7" t="str">
        <f aca="false">IF(A807="","",YEAR(A807))</f>
        <v/>
      </c>
      <c r="M807" s="9" t="str">
        <f aca="false">IF(B807="","",B807&amp;"|"&amp;COUNTIF(B$2:B807,B807))</f>
        <v/>
      </c>
    </row>
    <row r="808" customFormat="false" ht="15" hidden="false" customHeight="false" outlineLevel="0" collapsed="false">
      <c r="A808" s="5"/>
      <c r="B808" s="6"/>
      <c r="C808" s="6"/>
      <c r="D808" s="6"/>
      <c r="E808" s="7" t="str">
        <f aca="false">IF(D808="","",IFERROR(INDEX(Товары!$B$2:$B$200,MATCH(D808,Товары!$A$2:$A$200,0)),"нет в справочнике"))</f>
        <v/>
      </c>
      <c r="F808" s="6"/>
      <c r="G808" s="8" t="str">
        <f aca="false">IF(D808="","",IFERROR(INDEX(Товары!$C$2:$C$200,MATCH(D808,Товары!$A$2:$A$200,0)),0))</f>
        <v/>
      </c>
      <c r="H808" s="8" t="str">
        <f aca="false">IF(D808="","",F808*G808)</f>
        <v/>
      </c>
      <c r="I808" s="8" t="str">
        <f aca="false">IF(D808="","",F808*IFERROR(INDEX(Товары!$D$2:$D$200,MATCH(D808,Товары!$A$2:$A$200,0)),0))</f>
        <v/>
      </c>
      <c r="J808" s="8" t="str">
        <f aca="false">IF(D808="","",H808-I808)</f>
        <v/>
      </c>
      <c r="K808" s="7" t="str">
        <f aca="false">IF(A808="","",MONTH(A808))</f>
        <v/>
      </c>
      <c r="L808" s="7" t="str">
        <f aca="false">IF(A808="","",YEAR(A808))</f>
        <v/>
      </c>
      <c r="M808" s="9" t="str">
        <f aca="false">IF(B808="","",B808&amp;"|"&amp;COUNTIF(B$2:B808,B808))</f>
        <v/>
      </c>
    </row>
    <row r="809" customFormat="false" ht="15" hidden="false" customHeight="false" outlineLevel="0" collapsed="false">
      <c r="A809" s="5"/>
      <c r="B809" s="6"/>
      <c r="C809" s="6"/>
      <c r="D809" s="6"/>
      <c r="E809" s="7" t="str">
        <f aca="false">IF(D809="","",IFERROR(INDEX(Товары!$B$2:$B$200,MATCH(D809,Товары!$A$2:$A$200,0)),"нет в справочнике"))</f>
        <v/>
      </c>
      <c r="F809" s="6"/>
      <c r="G809" s="8" t="str">
        <f aca="false">IF(D809="","",IFERROR(INDEX(Товары!$C$2:$C$200,MATCH(D809,Товары!$A$2:$A$200,0)),0))</f>
        <v/>
      </c>
      <c r="H809" s="8" t="str">
        <f aca="false">IF(D809="","",F809*G809)</f>
        <v/>
      </c>
      <c r="I809" s="8" t="str">
        <f aca="false">IF(D809="","",F809*IFERROR(INDEX(Товары!$D$2:$D$200,MATCH(D809,Товары!$A$2:$A$200,0)),0))</f>
        <v/>
      </c>
      <c r="J809" s="8" t="str">
        <f aca="false">IF(D809="","",H809-I809)</f>
        <v/>
      </c>
      <c r="K809" s="7" t="str">
        <f aca="false">IF(A809="","",MONTH(A809))</f>
        <v/>
      </c>
      <c r="L809" s="7" t="str">
        <f aca="false">IF(A809="","",YEAR(A809))</f>
        <v/>
      </c>
      <c r="M809" s="9" t="str">
        <f aca="false">IF(B809="","",B809&amp;"|"&amp;COUNTIF(B$2:B809,B809))</f>
        <v/>
      </c>
    </row>
    <row r="810" customFormat="false" ht="15" hidden="false" customHeight="false" outlineLevel="0" collapsed="false">
      <c r="A810" s="5"/>
      <c r="B810" s="6"/>
      <c r="C810" s="6"/>
      <c r="D810" s="6"/>
      <c r="E810" s="7" t="str">
        <f aca="false">IF(D810="","",IFERROR(INDEX(Товары!$B$2:$B$200,MATCH(D810,Товары!$A$2:$A$200,0)),"нет в справочнике"))</f>
        <v/>
      </c>
      <c r="F810" s="6"/>
      <c r="G810" s="8" t="str">
        <f aca="false">IF(D810="","",IFERROR(INDEX(Товары!$C$2:$C$200,MATCH(D810,Товары!$A$2:$A$200,0)),0))</f>
        <v/>
      </c>
      <c r="H810" s="8" t="str">
        <f aca="false">IF(D810="","",F810*G810)</f>
        <v/>
      </c>
      <c r="I810" s="8" t="str">
        <f aca="false">IF(D810="","",F810*IFERROR(INDEX(Товары!$D$2:$D$200,MATCH(D810,Товары!$A$2:$A$200,0)),0))</f>
        <v/>
      </c>
      <c r="J810" s="8" t="str">
        <f aca="false">IF(D810="","",H810-I810)</f>
        <v/>
      </c>
      <c r="K810" s="7" t="str">
        <f aca="false">IF(A810="","",MONTH(A810))</f>
        <v/>
      </c>
      <c r="L810" s="7" t="str">
        <f aca="false">IF(A810="","",YEAR(A810))</f>
        <v/>
      </c>
      <c r="M810" s="9" t="str">
        <f aca="false">IF(B810="","",B810&amp;"|"&amp;COUNTIF(B$2:B810,B810))</f>
        <v/>
      </c>
    </row>
    <row r="811" customFormat="false" ht="15" hidden="false" customHeight="false" outlineLevel="0" collapsed="false">
      <c r="A811" s="5"/>
      <c r="B811" s="6"/>
      <c r="C811" s="6"/>
      <c r="D811" s="6"/>
      <c r="E811" s="7" t="str">
        <f aca="false">IF(D811="","",IFERROR(INDEX(Товары!$B$2:$B$200,MATCH(D811,Товары!$A$2:$A$200,0)),"нет в справочнике"))</f>
        <v/>
      </c>
      <c r="F811" s="6"/>
      <c r="G811" s="8" t="str">
        <f aca="false">IF(D811="","",IFERROR(INDEX(Товары!$C$2:$C$200,MATCH(D811,Товары!$A$2:$A$200,0)),0))</f>
        <v/>
      </c>
      <c r="H811" s="8" t="str">
        <f aca="false">IF(D811="","",F811*G811)</f>
        <v/>
      </c>
      <c r="I811" s="8" t="str">
        <f aca="false">IF(D811="","",F811*IFERROR(INDEX(Товары!$D$2:$D$200,MATCH(D811,Товары!$A$2:$A$200,0)),0))</f>
        <v/>
      </c>
      <c r="J811" s="8" t="str">
        <f aca="false">IF(D811="","",H811-I811)</f>
        <v/>
      </c>
      <c r="K811" s="7" t="str">
        <f aca="false">IF(A811="","",MONTH(A811))</f>
        <v/>
      </c>
      <c r="L811" s="7" t="str">
        <f aca="false">IF(A811="","",YEAR(A811))</f>
        <v/>
      </c>
      <c r="M811" s="9" t="str">
        <f aca="false">IF(B811="","",B811&amp;"|"&amp;COUNTIF(B$2:B811,B811))</f>
        <v/>
      </c>
    </row>
    <row r="812" customFormat="false" ht="15" hidden="false" customHeight="false" outlineLevel="0" collapsed="false">
      <c r="A812" s="5"/>
      <c r="B812" s="6"/>
      <c r="C812" s="6"/>
      <c r="D812" s="6"/>
      <c r="E812" s="7" t="str">
        <f aca="false">IF(D812="","",IFERROR(INDEX(Товары!$B$2:$B$200,MATCH(D812,Товары!$A$2:$A$200,0)),"нет в справочнике"))</f>
        <v/>
      </c>
      <c r="F812" s="6"/>
      <c r="G812" s="8" t="str">
        <f aca="false">IF(D812="","",IFERROR(INDEX(Товары!$C$2:$C$200,MATCH(D812,Товары!$A$2:$A$200,0)),0))</f>
        <v/>
      </c>
      <c r="H812" s="8" t="str">
        <f aca="false">IF(D812="","",F812*G812)</f>
        <v/>
      </c>
      <c r="I812" s="8" t="str">
        <f aca="false">IF(D812="","",F812*IFERROR(INDEX(Товары!$D$2:$D$200,MATCH(D812,Товары!$A$2:$A$200,0)),0))</f>
        <v/>
      </c>
      <c r="J812" s="8" t="str">
        <f aca="false">IF(D812="","",H812-I812)</f>
        <v/>
      </c>
      <c r="K812" s="7" t="str">
        <f aca="false">IF(A812="","",MONTH(A812))</f>
        <v/>
      </c>
      <c r="L812" s="7" t="str">
        <f aca="false">IF(A812="","",YEAR(A812))</f>
        <v/>
      </c>
      <c r="M812" s="9" t="str">
        <f aca="false">IF(B812="","",B812&amp;"|"&amp;COUNTIF(B$2:B812,B812))</f>
        <v/>
      </c>
    </row>
    <row r="813" customFormat="false" ht="15" hidden="false" customHeight="false" outlineLevel="0" collapsed="false">
      <c r="A813" s="5"/>
      <c r="B813" s="6"/>
      <c r="C813" s="6"/>
      <c r="D813" s="6"/>
      <c r="E813" s="7" t="str">
        <f aca="false">IF(D813="","",IFERROR(INDEX(Товары!$B$2:$B$200,MATCH(D813,Товары!$A$2:$A$200,0)),"нет в справочнике"))</f>
        <v/>
      </c>
      <c r="F813" s="6"/>
      <c r="G813" s="8" t="str">
        <f aca="false">IF(D813="","",IFERROR(INDEX(Товары!$C$2:$C$200,MATCH(D813,Товары!$A$2:$A$200,0)),0))</f>
        <v/>
      </c>
      <c r="H813" s="8" t="str">
        <f aca="false">IF(D813="","",F813*G813)</f>
        <v/>
      </c>
      <c r="I813" s="8" t="str">
        <f aca="false">IF(D813="","",F813*IFERROR(INDEX(Товары!$D$2:$D$200,MATCH(D813,Товары!$A$2:$A$200,0)),0))</f>
        <v/>
      </c>
      <c r="J813" s="8" t="str">
        <f aca="false">IF(D813="","",H813-I813)</f>
        <v/>
      </c>
      <c r="K813" s="7" t="str">
        <f aca="false">IF(A813="","",MONTH(A813))</f>
        <v/>
      </c>
      <c r="L813" s="7" t="str">
        <f aca="false">IF(A813="","",YEAR(A813))</f>
        <v/>
      </c>
      <c r="M813" s="9" t="str">
        <f aca="false">IF(B813="","",B813&amp;"|"&amp;COUNTIF(B$2:B813,B813))</f>
        <v/>
      </c>
    </row>
    <row r="814" customFormat="false" ht="15" hidden="false" customHeight="false" outlineLevel="0" collapsed="false">
      <c r="A814" s="5"/>
      <c r="B814" s="6"/>
      <c r="C814" s="6"/>
      <c r="D814" s="6"/>
      <c r="E814" s="7" t="str">
        <f aca="false">IF(D814="","",IFERROR(INDEX(Товары!$B$2:$B$200,MATCH(D814,Товары!$A$2:$A$200,0)),"нет в справочнике"))</f>
        <v/>
      </c>
      <c r="F814" s="6"/>
      <c r="G814" s="8" t="str">
        <f aca="false">IF(D814="","",IFERROR(INDEX(Товары!$C$2:$C$200,MATCH(D814,Товары!$A$2:$A$200,0)),0))</f>
        <v/>
      </c>
      <c r="H814" s="8" t="str">
        <f aca="false">IF(D814="","",F814*G814)</f>
        <v/>
      </c>
      <c r="I814" s="8" t="str">
        <f aca="false">IF(D814="","",F814*IFERROR(INDEX(Товары!$D$2:$D$200,MATCH(D814,Товары!$A$2:$A$200,0)),0))</f>
        <v/>
      </c>
      <c r="J814" s="8" t="str">
        <f aca="false">IF(D814="","",H814-I814)</f>
        <v/>
      </c>
      <c r="K814" s="7" t="str">
        <f aca="false">IF(A814="","",MONTH(A814))</f>
        <v/>
      </c>
      <c r="L814" s="7" t="str">
        <f aca="false">IF(A814="","",YEAR(A814))</f>
        <v/>
      </c>
      <c r="M814" s="9" t="str">
        <f aca="false">IF(B814="","",B814&amp;"|"&amp;COUNTIF(B$2:B814,B814))</f>
        <v/>
      </c>
    </row>
    <row r="815" customFormat="false" ht="15" hidden="false" customHeight="false" outlineLevel="0" collapsed="false">
      <c r="A815" s="5"/>
      <c r="B815" s="6"/>
      <c r="C815" s="6"/>
      <c r="D815" s="6"/>
      <c r="E815" s="7" t="str">
        <f aca="false">IF(D815="","",IFERROR(INDEX(Товары!$B$2:$B$200,MATCH(D815,Товары!$A$2:$A$200,0)),"нет в справочнике"))</f>
        <v/>
      </c>
      <c r="F815" s="6"/>
      <c r="G815" s="8" t="str">
        <f aca="false">IF(D815="","",IFERROR(INDEX(Товары!$C$2:$C$200,MATCH(D815,Товары!$A$2:$A$200,0)),0))</f>
        <v/>
      </c>
      <c r="H815" s="8" t="str">
        <f aca="false">IF(D815="","",F815*G815)</f>
        <v/>
      </c>
      <c r="I815" s="8" t="str">
        <f aca="false">IF(D815="","",F815*IFERROR(INDEX(Товары!$D$2:$D$200,MATCH(D815,Товары!$A$2:$A$200,0)),0))</f>
        <v/>
      </c>
      <c r="J815" s="8" t="str">
        <f aca="false">IF(D815="","",H815-I815)</f>
        <v/>
      </c>
      <c r="K815" s="7" t="str">
        <f aca="false">IF(A815="","",MONTH(A815))</f>
        <v/>
      </c>
      <c r="L815" s="7" t="str">
        <f aca="false">IF(A815="","",YEAR(A815))</f>
        <v/>
      </c>
      <c r="M815" s="9" t="str">
        <f aca="false">IF(B815="","",B815&amp;"|"&amp;COUNTIF(B$2:B815,B815))</f>
        <v/>
      </c>
    </row>
    <row r="816" customFormat="false" ht="15" hidden="false" customHeight="false" outlineLevel="0" collapsed="false">
      <c r="A816" s="5"/>
      <c r="B816" s="6"/>
      <c r="C816" s="6"/>
      <c r="D816" s="6"/>
      <c r="E816" s="7" t="str">
        <f aca="false">IF(D816="","",IFERROR(INDEX(Товары!$B$2:$B$200,MATCH(D816,Товары!$A$2:$A$200,0)),"нет в справочнике"))</f>
        <v/>
      </c>
      <c r="F816" s="6"/>
      <c r="G816" s="8" t="str">
        <f aca="false">IF(D816="","",IFERROR(INDEX(Товары!$C$2:$C$200,MATCH(D816,Товары!$A$2:$A$200,0)),0))</f>
        <v/>
      </c>
      <c r="H816" s="8" t="str">
        <f aca="false">IF(D816="","",F816*G816)</f>
        <v/>
      </c>
      <c r="I816" s="8" t="str">
        <f aca="false">IF(D816="","",F816*IFERROR(INDEX(Товары!$D$2:$D$200,MATCH(D816,Товары!$A$2:$A$200,0)),0))</f>
        <v/>
      </c>
      <c r="J816" s="8" t="str">
        <f aca="false">IF(D816="","",H816-I816)</f>
        <v/>
      </c>
      <c r="K816" s="7" t="str">
        <f aca="false">IF(A816="","",MONTH(A816))</f>
        <v/>
      </c>
      <c r="L816" s="7" t="str">
        <f aca="false">IF(A816="","",YEAR(A816))</f>
        <v/>
      </c>
      <c r="M816" s="9" t="str">
        <f aca="false">IF(B816="","",B816&amp;"|"&amp;COUNTIF(B$2:B816,B816))</f>
        <v/>
      </c>
    </row>
    <row r="817" customFormat="false" ht="15" hidden="false" customHeight="false" outlineLevel="0" collapsed="false">
      <c r="A817" s="5"/>
      <c r="B817" s="6"/>
      <c r="C817" s="6"/>
      <c r="D817" s="6"/>
      <c r="E817" s="7" t="str">
        <f aca="false">IF(D817="","",IFERROR(INDEX(Товары!$B$2:$B$200,MATCH(D817,Товары!$A$2:$A$200,0)),"нет в справочнике"))</f>
        <v/>
      </c>
      <c r="F817" s="6"/>
      <c r="G817" s="8" t="str">
        <f aca="false">IF(D817="","",IFERROR(INDEX(Товары!$C$2:$C$200,MATCH(D817,Товары!$A$2:$A$200,0)),0))</f>
        <v/>
      </c>
      <c r="H817" s="8" t="str">
        <f aca="false">IF(D817="","",F817*G817)</f>
        <v/>
      </c>
      <c r="I817" s="8" t="str">
        <f aca="false">IF(D817="","",F817*IFERROR(INDEX(Товары!$D$2:$D$200,MATCH(D817,Товары!$A$2:$A$200,0)),0))</f>
        <v/>
      </c>
      <c r="J817" s="8" t="str">
        <f aca="false">IF(D817="","",H817-I817)</f>
        <v/>
      </c>
      <c r="K817" s="7" t="str">
        <f aca="false">IF(A817="","",MONTH(A817))</f>
        <v/>
      </c>
      <c r="L817" s="7" t="str">
        <f aca="false">IF(A817="","",YEAR(A817))</f>
        <v/>
      </c>
      <c r="M817" s="9" t="str">
        <f aca="false">IF(B817="","",B817&amp;"|"&amp;COUNTIF(B$2:B817,B817))</f>
        <v/>
      </c>
    </row>
    <row r="818" customFormat="false" ht="15" hidden="false" customHeight="false" outlineLevel="0" collapsed="false">
      <c r="A818" s="5"/>
      <c r="B818" s="6"/>
      <c r="C818" s="6"/>
      <c r="D818" s="6"/>
      <c r="E818" s="7" t="str">
        <f aca="false">IF(D818="","",IFERROR(INDEX(Товары!$B$2:$B$200,MATCH(D818,Товары!$A$2:$A$200,0)),"нет в справочнике"))</f>
        <v/>
      </c>
      <c r="F818" s="6"/>
      <c r="G818" s="8" t="str">
        <f aca="false">IF(D818="","",IFERROR(INDEX(Товары!$C$2:$C$200,MATCH(D818,Товары!$A$2:$A$200,0)),0))</f>
        <v/>
      </c>
      <c r="H818" s="8" t="str">
        <f aca="false">IF(D818="","",F818*G818)</f>
        <v/>
      </c>
      <c r="I818" s="8" t="str">
        <f aca="false">IF(D818="","",F818*IFERROR(INDEX(Товары!$D$2:$D$200,MATCH(D818,Товары!$A$2:$A$200,0)),0))</f>
        <v/>
      </c>
      <c r="J818" s="8" t="str">
        <f aca="false">IF(D818="","",H818-I818)</f>
        <v/>
      </c>
      <c r="K818" s="7" t="str">
        <f aca="false">IF(A818="","",MONTH(A818))</f>
        <v/>
      </c>
      <c r="L818" s="7" t="str">
        <f aca="false">IF(A818="","",YEAR(A818))</f>
        <v/>
      </c>
      <c r="M818" s="9" t="str">
        <f aca="false">IF(B818="","",B818&amp;"|"&amp;COUNTIF(B$2:B818,B818))</f>
        <v/>
      </c>
    </row>
    <row r="819" customFormat="false" ht="15" hidden="false" customHeight="false" outlineLevel="0" collapsed="false">
      <c r="A819" s="5"/>
      <c r="B819" s="6"/>
      <c r="C819" s="6"/>
      <c r="D819" s="6"/>
      <c r="E819" s="7" t="str">
        <f aca="false">IF(D819="","",IFERROR(INDEX(Товары!$B$2:$B$200,MATCH(D819,Товары!$A$2:$A$200,0)),"нет в справочнике"))</f>
        <v/>
      </c>
      <c r="F819" s="6"/>
      <c r="G819" s="8" t="str">
        <f aca="false">IF(D819="","",IFERROR(INDEX(Товары!$C$2:$C$200,MATCH(D819,Товары!$A$2:$A$200,0)),0))</f>
        <v/>
      </c>
      <c r="H819" s="8" t="str">
        <f aca="false">IF(D819="","",F819*G819)</f>
        <v/>
      </c>
      <c r="I819" s="8" t="str">
        <f aca="false">IF(D819="","",F819*IFERROR(INDEX(Товары!$D$2:$D$200,MATCH(D819,Товары!$A$2:$A$200,0)),0))</f>
        <v/>
      </c>
      <c r="J819" s="8" t="str">
        <f aca="false">IF(D819="","",H819-I819)</f>
        <v/>
      </c>
      <c r="K819" s="7" t="str">
        <f aca="false">IF(A819="","",MONTH(A819))</f>
        <v/>
      </c>
      <c r="L819" s="7" t="str">
        <f aca="false">IF(A819="","",YEAR(A819))</f>
        <v/>
      </c>
      <c r="M819" s="9" t="str">
        <f aca="false">IF(B819="","",B819&amp;"|"&amp;COUNTIF(B$2:B819,B819))</f>
        <v/>
      </c>
    </row>
    <row r="820" customFormat="false" ht="15" hidden="false" customHeight="false" outlineLevel="0" collapsed="false">
      <c r="A820" s="5"/>
      <c r="B820" s="6"/>
      <c r="C820" s="6"/>
      <c r="D820" s="6"/>
      <c r="E820" s="7" t="str">
        <f aca="false">IF(D820="","",IFERROR(INDEX(Товары!$B$2:$B$200,MATCH(D820,Товары!$A$2:$A$200,0)),"нет в справочнике"))</f>
        <v/>
      </c>
      <c r="F820" s="6"/>
      <c r="G820" s="8" t="str">
        <f aca="false">IF(D820="","",IFERROR(INDEX(Товары!$C$2:$C$200,MATCH(D820,Товары!$A$2:$A$200,0)),0))</f>
        <v/>
      </c>
      <c r="H820" s="8" t="str">
        <f aca="false">IF(D820="","",F820*G820)</f>
        <v/>
      </c>
      <c r="I820" s="8" t="str">
        <f aca="false">IF(D820="","",F820*IFERROR(INDEX(Товары!$D$2:$D$200,MATCH(D820,Товары!$A$2:$A$200,0)),0))</f>
        <v/>
      </c>
      <c r="J820" s="8" t="str">
        <f aca="false">IF(D820="","",H820-I820)</f>
        <v/>
      </c>
      <c r="K820" s="7" t="str">
        <f aca="false">IF(A820="","",MONTH(A820))</f>
        <v/>
      </c>
      <c r="L820" s="7" t="str">
        <f aca="false">IF(A820="","",YEAR(A820))</f>
        <v/>
      </c>
      <c r="M820" s="9" t="str">
        <f aca="false">IF(B820="","",B820&amp;"|"&amp;COUNTIF(B$2:B820,B820))</f>
        <v/>
      </c>
    </row>
    <row r="821" customFormat="false" ht="15" hidden="false" customHeight="false" outlineLevel="0" collapsed="false">
      <c r="A821" s="5"/>
      <c r="B821" s="6"/>
      <c r="C821" s="6"/>
      <c r="D821" s="6"/>
      <c r="E821" s="7" t="str">
        <f aca="false">IF(D821="","",IFERROR(INDEX(Товары!$B$2:$B$200,MATCH(D821,Товары!$A$2:$A$200,0)),"нет в справочнике"))</f>
        <v/>
      </c>
      <c r="F821" s="6"/>
      <c r="G821" s="8" t="str">
        <f aca="false">IF(D821="","",IFERROR(INDEX(Товары!$C$2:$C$200,MATCH(D821,Товары!$A$2:$A$200,0)),0))</f>
        <v/>
      </c>
      <c r="H821" s="8" t="str">
        <f aca="false">IF(D821="","",F821*G821)</f>
        <v/>
      </c>
      <c r="I821" s="8" t="str">
        <f aca="false">IF(D821="","",F821*IFERROR(INDEX(Товары!$D$2:$D$200,MATCH(D821,Товары!$A$2:$A$200,0)),0))</f>
        <v/>
      </c>
      <c r="J821" s="8" t="str">
        <f aca="false">IF(D821="","",H821-I821)</f>
        <v/>
      </c>
      <c r="K821" s="7" t="str">
        <f aca="false">IF(A821="","",MONTH(A821))</f>
        <v/>
      </c>
      <c r="L821" s="7" t="str">
        <f aca="false">IF(A821="","",YEAR(A821))</f>
        <v/>
      </c>
      <c r="M821" s="9" t="str">
        <f aca="false">IF(B821="","",B821&amp;"|"&amp;COUNTIF(B$2:B821,B821))</f>
        <v/>
      </c>
    </row>
    <row r="822" customFormat="false" ht="15" hidden="false" customHeight="false" outlineLevel="0" collapsed="false">
      <c r="A822" s="5"/>
      <c r="B822" s="6"/>
      <c r="C822" s="6"/>
      <c r="D822" s="6"/>
      <c r="E822" s="7" t="str">
        <f aca="false">IF(D822="","",IFERROR(INDEX(Товары!$B$2:$B$200,MATCH(D822,Товары!$A$2:$A$200,0)),"нет в справочнике"))</f>
        <v/>
      </c>
      <c r="F822" s="6"/>
      <c r="G822" s="8" t="str">
        <f aca="false">IF(D822="","",IFERROR(INDEX(Товары!$C$2:$C$200,MATCH(D822,Товары!$A$2:$A$200,0)),0))</f>
        <v/>
      </c>
      <c r="H822" s="8" t="str">
        <f aca="false">IF(D822="","",F822*G822)</f>
        <v/>
      </c>
      <c r="I822" s="8" t="str">
        <f aca="false">IF(D822="","",F822*IFERROR(INDEX(Товары!$D$2:$D$200,MATCH(D822,Товары!$A$2:$A$200,0)),0))</f>
        <v/>
      </c>
      <c r="J822" s="8" t="str">
        <f aca="false">IF(D822="","",H822-I822)</f>
        <v/>
      </c>
      <c r="K822" s="7" t="str">
        <f aca="false">IF(A822="","",MONTH(A822))</f>
        <v/>
      </c>
      <c r="L822" s="7" t="str">
        <f aca="false">IF(A822="","",YEAR(A822))</f>
        <v/>
      </c>
      <c r="M822" s="9" t="str">
        <f aca="false">IF(B822="","",B822&amp;"|"&amp;COUNTIF(B$2:B822,B822))</f>
        <v/>
      </c>
    </row>
    <row r="823" customFormat="false" ht="15" hidden="false" customHeight="false" outlineLevel="0" collapsed="false">
      <c r="A823" s="5"/>
      <c r="B823" s="6"/>
      <c r="C823" s="6"/>
      <c r="D823" s="6"/>
      <c r="E823" s="7" t="str">
        <f aca="false">IF(D823="","",IFERROR(INDEX(Товары!$B$2:$B$200,MATCH(D823,Товары!$A$2:$A$200,0)),"нет в справочнике"))</f>
        <v/>
      </c>
      <c r="F823" s="6"/>
      <c r="G823" s="8" t="str">
        <f aca="false">IF(D823="","",IFERROR(INDEX(Товары!$C$2:$C$200,MATCH(D823,Товары!$A$2:$A$200,0)),0))</f>
        <v/>
      </c>
      <c r="H823" s="8" t="str">
        <f aca="false">IF(D823="","",F823*G823)</f>
        <v/>
      </c>
      <c r="I823" s="8" t="str">
        <f aca="false">IF(D823="","",F823*IFERROR(INDEX(Товары!$D$2:$D$200,MATCH(D823,Товары!$A$2:$A$200,0)),0))</f>
        <v/>
      </c>
      <c r="J823" s="8" t="str">
        <f aca="false">IF(D823="","",H823-I823)</f>
        <v/>
      </c>
      <c r="K823" s="7" t="str">
        <f aca="false">IF(A823="","",MONTH(A823))</f>
        <v/>
      </c>
      <c r="L823" s="7" t="str">
        <f aca="false">IF(A823="","",YEAR(A823))</f>
        <v/>
      </c>
      <c r="M823" s="9" t="str">
        <f aca="false">IF(B823="","",B823&amp;"|"&amp;COUNTIF(B$2:B823,B823))</f>
        <v/>
      </c>
    </row>
    <row r="824" customFormat="false" ht="15" hidden="false" customHeight="false" outlineLevel="0" collapsed="false">
      <c r="A824" s="5"/>
      <c r="B824" s="6"/>
      <c r="C824" s="6"/>
      <c r="D824" s="6"/>
      <c r="E824" s="7" t="str">
        <f aca="false">IF(D824="","",IFERROR(INDEX(Товары!$B$2:$B$200,MATCH(D824,Товары!$A$2:$A$200,0)),"нет в справочнике"))</f>
        <v/>
      </c>
      <c r="F824" s="6"/>
      <c r="G824" s="8" t="str">
        <f aca="false">IF(D824="","",IFERROR(INDEX(Товары!$C$2:$C$200,MATCH(D824,Товары!$A$2:$A$200,0)),0))</f>
        <v/>
      </c>
      <c r="H824" s="8" t="str">
        <f aca="false">IF(D824="","",F824*G824)</f>
        <v/>
      </c>
      <c r="I824" s="8" t="str">
        <f aca="false">IF(D824="","",F824*IFERROR(INDEX(Товары!$D$2:$D$200,MATCH(D824,Товары!$A$2:$A$200,0)),0))</f>
        <v/>
      </c>
      <c r="J824" s="8" t="str">
        <f aca="false">IF(D824="","",H824-I824)</f>
        <v/>
      </c>
      <c r="K824" s="7" t="str">
        <f aca="false">IF(A824="","",MONTH(A824))</f>
        <v/>
      </c>
      <c r="L824" s="7" t="str">
        <f aca="false">IF(A824="","",YEAR(A824))</f>
        <v/>
      </c>
      <c r="M824" s="9" t="str">
        <f aca="false">IF(B824="","",B824&amp;"|"&amp;COUNTIF(B$2:B824,B824))</f>
        <v/>
      </c>
    </row>
    <row r="825" customFormat="false" ht="15" hidden="false" customHeight="false" outlineLevel="0" collapsed="false">
      <c r="A825" s="5"/>
      <c r="B825" s="6"/>
      <c r="C825" s="6"/>
      <c r="D825" s="6"/>
      <c r="E825" s="7" t="str">
        <f aca="false">IF(D825="","",IFERROR(INDEX(Товары!$B$2:$B$200,MATCH(D825,Товары!$A$2:$A$200,0)),"нет в справочнике"))</f>
        <v/>
      </c>
      <c r="F825" s="6"/>
      <c r="G825" s="8" t="str">
        <f aca="false">IF(D825="","",IFERROR(INDEX(Товары!$C$2:$C$200,MATCH(D825,Товары!$A$2:$A$200,0)),0))</f>
        <v/>
      </c>
      <c r="H825" s="8" t="str">
        <f aca="false">IF(D825="","",F825*G825)</f>
        <v/>
      </c>
      <c r="I825" s="8" t="str">
        <f aca="false">IF(D825="","",F825*IFERROR(INDEX(Товары!$D$2:$D$200,MATCH(D825,Товары!$A$2:$A$200,0)),0))</f>
        <v/>
      </c>
      <c r="J825" s="8" t="str">
        <f aca="false">IF(D825="","",H825-I825)</f>
        <v/>
      </c>
      <c r="K825" s="7" t="str">
        <f aca="false">IF(A825="","",MONTH(A825))</f>
        <v/>
      </c>
      <c r="L825" s="7" t="str">
        <f aca="false">IF(A825="","",YEAR(A825))</f>
        <v/>
      </c>
      <c r="M825" s="9" t="str">
        <f aca="false">IF(B825="","",B825&amp;"|"&amp;COUNTIF(B$2:B825,B825))</f>
        <v/>
      </c>
    </row>
    <row r="826" customFormat="false" ht="15" hidden="false" customHeight="false" outlineLevel="0" collapsed="false">
      <c r="A826" s="5"/>
      <c r="B826" s="6"/>
      <c r="C826" s="6"/>
      <c r="D826" s="6"/>
      <c r="E826" s="7" t="str">
        <f aca="false">IF(D826="","",IFERROR(INDEX(Товары!$B$2:$B$200,MATCH(D826,Товары!$A$2:$A$200,0)),"нет в справочнике"))</f>
        <v/>
      </c>
      <c r="F826" s="6"/>
      <c r="G826" s="8" t="str">
        <f aca="false">IF(D826="","",IFERROR(INDEX(Товары!$C$2:$C$200,MATCH(D826,Товары!$A$2:$A$200,0)),0))</f>
        <v/>
      </c>
      <c r="H826" s="8" t="str">
        <f aca="false">IF(D826="","",F826*G826)</f>
        <v/>
      </c>
      <c r="I826" s="8" t="str">
        <f aca="false">IF(D826="","",F826*IFERROR(INDEX(Товары!$D$2:$D$200,MATCH(D826,Товары!$A$2:$A$200,0)),0))</f>
        <v/>
      </c>
      <c r="J826" s="8" t="str">
        <f aca="false">IF(D826="","",H826-I826)</f>
        <v/>
      </c>
      <c r="K826" s="7" t="str">
        <f aca="false">IF(A826="","",MONTH(A826))</f>
        <v/>
      </c>
      <c r="L826" s="7" t="str">
        <f aca="false">IF(A826="","",YEAR(A826))</f>
        <v/>
      </c>
      <c r="M826" s="9" t="str">
        <f aca="false">IF(B826="","",B826&amp;"|"&amp;COUNTIF(B$2:B826,B826))</f>
        <v/>
      </c>
    </row>
    <row r="827" customFormat="false" ht="15" hidden="false" customHeight="false" outlineLevel="0" collapsed="false">
      <c r="A827" s="5"/>
      <c r="B827" s="6"/>
      <c r="C827" s="6"/>
      <c r="D827" s="6"/>
      <c r="E827" s="7" t="str">
        <f aca="false">IF(D827="","",IFERROR(INDEX(Товары!$B$2:$B$200,MATCH(D827,Товары!$A$2:$A$200,0)),"нет в справочнике"))</f>
        <v/>
      </c>
      <c r="F827" s="6"/>
      <c r="G827" s="8" t="str">
        <f aca="false">IF(D827="","",IFERROR(INDEX(Товары!$C$2:$C$200,MATCH(D827,Товары!$A$2:$A$200,0)),0))</f>
        <v/>
      </c>
      <c r="H827" s="8" t="str">
        <f aca="false">IF(D827="","",F827*G827)</f>
        <v/>
      </c>
      <c r="I827" s="8" t="str">
        <f aca="false">IF(D827="","",F827*IFERROR(INDEX(Товары!$D$2:$D$200,MATCH(D827,Товары!$A$2:$A$200,0)),0))</f>
        <v/>
      </c>
      <c r="J827" s="8" t="str">
        <f aca="false">IF(D827="","",H827-I827)</f>
        <v/>
      </c>
      <c r="K827" s="7" t="str">
        <f aca="false">IF(A827="","",MONTH(A827))</f>
        <v/>
      </c>
      <c r="L827" s="7" t="str">
        <f aca="false">IF(A827="","",YEAR(A827))</f>
        <v/>
      </c>
      <c r="M827" s="9" t="str">
        <f aca="false">IF(B827="","",B827&amp;"|"&amp;COUNTIF(B$2:B827,B827))</f>
        <v/>
      </c>
    </row>
    <row r="828" customFormat="false" ht="15" hidden="false" customHeight="false" outlineLevel="0" collapsed="false">
      <c r="A828" s="5"/>
      <c r="B828" s="6"/>
      <c r="C828" s="6"/>
      <c r="D828" s="6"/>
      <c r="E828" s="7" t="str">
        <f aca="false">IF(D828="","",IFERROR(INDEX(Товары!$B$2:$B$200,MATCH(D828,Товары!$A$2:$A$200,0)),"нет в справочнике"))</f>
        <v/>
      </c>
      <c r="F828" s="6"/>
      <c r="G828" s="8" t="str">
        <f aca="false">IF(D828="","",IFERROR(INDEX(Товары!$C$2:$C$200,MATCH(D828,Товары!$A$2:$A$200,0)),0))</f>
        <v/>
      </c>
      <c r="H828" s="8" t="str">
        <f aca="false">IF(D828="","",F828*G828)</f>
        <v/>
      </c>
      <c r="I828" s="8" t="str">
        <f aca="false">IF(D828="","",F828*IFERROR(INDEX(Товары!$D$2:$D$200,MATCH(D828,Товары!$A$2:$A$200,0)),0))</f>
        <v/>
      </c>
      <c r="J828" s="8" t="str">
        <f aca="false">IF(D828="","",H828-I828)</f>
        <v/>
      </c>
      <c r="K828" s="7" t="str">
        <f aca="false">IF(A828="","",MONTH(A828))</f>
        <v/>
      </c>
      <c r="L828" s="7" t="str">
        <f aca="false">IF(A828="","",YEAR(A828))</f>
        <v/>
      </c>
      <c r="M828" s="9" t="str">
        <f aca="false">IF(B828="","",B828&amp;"|"&amp;COUNTIF(B$2:B828,B828))</f>
        <v/>
      </c>
    </row>
    <row r="829" customFormat="false" ht="15" hidden="false" customHeight="false" outlineLevel="0" collapsed="false">
      <c r="A829" s="5"/>
      <c r="B829" s="6"/>
      <c r="C829" s="6"/>
      <c r="D829" s="6"/>
      <c r="E829" s="7" t="str">
        <f aca="false">IF(D829="","",IFERROR(INDEX(Товары!$B$2:$B$200,MATCH(D829,Товары!$A$2:$A$200,0)),"нет в справочнике"))</f>
        <v/>
      </c>
      <c r="F829" s="6"/>
      <c r="G829" s="8" t="str">
        <f aca="false">IF(D829="","",IFERROR(INDEX(Товары!$C$2:$C$200,MATCH(D829,Товары!$A$2:$A$200,0)),0))</f>
        <v/>
      </c>
      <c r="H829" s="8" t="str">
        <f aca="false">IF(D829="","",F829*G829)</f>
        <v/>
      </c>
      <c r="I829" s="8" t="str">
        <f aca="false">IF(D829="","",F829*IFERROR(INDEX(Товары!$D$2:$D$200,MATCH(D829,Товары!$A$2:$A$200,0)),0))</f>
        <v/>
      </c>
      <c r="J829" s="8" t="str">
        <f aca="false">IF(D829="","",H829-I829)</f>
        <v/>
      </c>
      <c r="K829" s="7" t="str">
        <f aca="false">IF(A829="","",MONTH(A829))</f>
        <v/>
      </c>
      <c r="L829" s="7" t="str">
        <f aca="false">IF(A829="","",YEAR(A829))</f>
        <v/>
      </c>
      <c r="M829" s="9" t="str">
        <f aca="false">IF(B829="","",B829&amp;"|"&amp;COUNTIF(B$2:B829,B829))</f>
        <v/>
      </c>
    </row>
    <row r="830" customFormat="false" ht="15" hidden="false" customHeight="false" outlineLevel="0" collapsed="false">
      <c r="A830" s="5"/>
      <c r="B830" s="6"/>
      <c r="C830" s="6"/>
      <c r="D830" s="6"/>
      <c r="E830" s="7" t="str">
        <f aca="false">IF(D830="","",IFERROR(INDEX(Товары!$B$2:$B$200,MATCH(D830,Товары!$A$2:$A$200,0)),"нет в справочнике"))</f>
        <v/>
      </c>
      <c r="F830" s="6"/>
      <c r="G830" s="8" t="str">
        <f aca="false">IF(D830="","",IFERROR(INDEX(Товары!$C$2:$C$200,MATCH(D830,Товары!$A$2:$A$200,0)),0))</f>
        <v/>
      </c>
      <c r="H830" s="8" t="str">
        <f aca="false">IF(D830="","",F830*G830)</f>
        <v/>
      </c>
      <c r="I830" s="8" t="str">
        <f aca="false">IF(D830="","",F830*IFERROR(INDEX(Товары!$D$2:$D$200,MATCH(D830,Товары!$A$2:$A$200,0)),0))</f>
        <v/>
      </c>
      <c r="J830" s="8" t="str">
        <f aca="false">IF(D830="","",H830-I830)</f>
        <v/>
      </c>
      <c r="K830" s="7" t="str">
        <f aca="false">IF(A830="","",MONTH(A830))</f>
        <v/>
      </c>
      <c r="L830" s="7" t="str">
        <f aca="false">IF(A830="","",YEAR(A830))</f>
        <v/>
      </c>
      <c r="M830" s="9" t="str">
        <f aca="false">IF(B830="","",B830&amp;"|"&amp;COUNTIF(B$2:B830,B830))</f>
        <v/>
      </c>
    </row>
    <row r="831" customFormat="false" ht="15" hidden="false" customHeight="false" outlineLevel="0" collapsed="false">
      <c r="A831" s="5"/>
      <c r="B831" s="6"/>
      <c r="C831" s="6"/>
      <c r="D831" s="6"/>
      <c r="E831" s="7" t="str">
        <f aca="false">IF(D831="","",IFERROR(INDEX(Товары!$B$2:$B$200,MATCH(D831,Товары!$A$2:$A$200,0)),"нет в справочнике"))</f>
        <v/>
      </c>
      <c r="F831" s="6"/>
      <c r="G831" s="8" t="str">
        <f aca="false">IF(D831="","",IFERROR(INDEX(Товары!$C$2:$C$200,MATCH(D831,Товары!$A$2:$A$200,0)),0))</f>
        <v/>
      </c>
      <c r="H831" s="8" t="str">
        <f aca="false">IF(D831="","",F831*G831)</f>
        <v/>
      </c>
      <c r="I831" s="8" t="str">
        <f aca="false">IF(D831="","",F831*IFERROR(INDEX(Товары!$D$2:$D$200,MATCH(D831,Товары!$A$2:$A$200,0)),0))</f>
        <v/>
      </c>
      <c r="J831" s="8" t="str">
        <f aca="false">IF(D831="","",H831-I831)</f>
        <v/>
      </c>
      <c r="K831" s="7" t="str">
        <f aca="false">IF(A831="","",MONTH(A831))</f>
        <v/>
      </c>
      <c r="L831" s="7" t="str">
        <f aca="false">IF(A831="","",YEAR(A831))</f>
        <v/>
      </c>
      <c r="M831" s="9" t="str">
        <f aca="false">IF(B831="","",B831&amp;"|"&amp;COUNTIF(B$2:B831,B831))</f>
        <v/>
      </c>
    </row>
    <row r="832" customFormat="false" ht="15" hidden="false" customHeight="false" outlineLevel="0" collapsed="false">
      <c r="A832" s="5"/>
      <c r="B832" s="6"/>
      <c r="C832" s="6"/>
      <c r="D832" s="6"/>
      <c r="E832" s="7" t="str">
        <f aca="false">IF(D832="","",IFERROR(INDEX(Товары!$B$2:$B$200,MATCH(D832,Товары!$A$2:$A$200,0)),"нет в справочнике"))</f>
        <v/>
      </c>
      <c r="F832" s="6"/>
      <c r="G832" s="8" t="str">
        <f aca="false">IF(D832="","",IFERROR(INDEX(Товары!$C$2:$C$200,MATCH(D832,Товары!$A$2:$A$200,0)),0))</f>
        <v/>
      </c>
      <c r="H832" s="8" t="str">
        <f aca="false">IF(D832="","",F832*G832)</f>
        <v/>
      </c>
      <c r="I832" s="8" t="str">
        <f aca="false">IF(D832="","",F832*IFERROR(INDEX(Товары!$D$2:$D$200,MATCH(D832,Товары!$A$2:$A$200,0)),0))</f>
        <v/>
      </c>
      <c r="J832" s="8" t="str">
        <f aca="false">IF(D832="","",H832-I832)</f>
        <v/>
      </c>
      <c r="K832" s="7" t="str">
        <f aca="false">IF(A832="","",MONTH(A832))</f>
        <v/>
      </c>
      <c r="L832" s="7" t="str">
        <f aca="false">IF(A832="","",YEAR(A832))</f>
        <v/>
      </c>
      <c r="M832" s="9" t="str">
        <f aca="false">IF(B832="","",B832&amp;"|"&amp;COUNTIF(B$2:B832,B832))</f>
        <v/>
      </c>
    </row>
    <row r="833" customFormat="false" ht="15" hidden="false" customHeight="false" outlineLevel="0" collapsed="false">
      <c r="A833" s="5"/>
      <c r="B833" s="6"/>
      <c r="C833" s="6"/>
      <c r="D833" s="6"/>
      <c r="E833" s="7" t="str">
        <f aca="false">IF(D833="","",IFERROR(INDEX(Товары!$B$2:$B$200,MATCH(D833,Товары!$A$2:$A$200,0)),"нет в справочнике"))</f>
        <v/>
      </c>
      <c r="F833" s="6"/>
      <c r="G833" s="8" t="str">
        <f aca="false">IF(D833="","",IFERROR(INDEX(Товары!$C$2:$C$200,MATCH(D833,Товары!$A$2:$A$200,0)),0))</f>
        <v/>
      </c>
      <c r="H833" s="8" t="str">
        <f aca="false">IF(D833="","",F833*G833)</f>
        <v/>
      </c>
      <c r="I833" s="8" t="str">
        <f aca="false">IF(D833="","",F833*IFERROR(INDEX(Товары!$D$2:$D$200,MATCH(D833,Товары!$A$2:$A$200,0)),0))</f>
        <v/>
      </c>
      <c r="J833" s="8" t="str">
        <f aca="false">IF(D833="","",H833-I833)</f>
        <v/>
      </c>
      <c r="K833" s="7" t="str">
        <f aca="false">IF(A833="","",MONTH(A833))</f>
        <v/>
      </c>
      <c r="L833" s="7" t="str">
        <f aca="false">IF(A833="","",YEAR(A833))</f>
        <v/>
      </c>
      <c r="M833" s="9" t="str">
        <f aca="false">IF(B833="","",B833&amp;"|"&amp;COUNTIF(B$2:B833,B833))</f>
        <v/>
      </c>
    </row>
    <row r="834" customFormat="false" ht="15" hidden="false" customHeight="false" outlineLevel="0" collapsed="false">
      <c r="A834" s="5"/>
      <c r="B834" s="6"/>
      <c r="C834" s="6"/>
      <c r="D834" s="6"/>
      <c r="E834" s="7" t="str">
        <f aca="false">IF(D834="","",IFERROR(INDEX(Товары!$B$2:$B$200,MATCH(D834,Товары!$A$2:$A$200,0)),"нет в справочнике"))</f>
        <v/>
      </c>
      <c r="F834" s="6"/>
      <c r="G834" s="8" t="str">
        <f aca="false">IF(D834="","",IFERROR(INDEX(Товары!$C$2:$C$200,MATCH(D834,Товары!$A$2:$A$200,0)),0))</f>
        <v/>
      </c>
      <c r="H834" s="8" t="str">
        <f aca="false">IF(D834="","",F834*G834)</f>
        <v/>
      </c>
      <c r="I834" s="8" t="str">
        <f aca="false">IF(D834="","",F834*IFERROR(INDEX(Товары!$D$2:$D$200,MATCH(D834,Товары!$A$2:$A$200,0)),0))</f>
        <v/>
      </c>
      <c r="J834" s="8" t="str">
        <f aca="false">IF(D834="","",H834-I834)</f>
        <v/>
      </c>
      <c r="K834" s="7" t="str">
        <f aca="false">IF(A834="","",MONTH(A834))</f>
        <v/>
      </c>
      <c r="L834" s="7" t="str">
        <f aca="false">IF(A834="","",YEAR(A834))</f>
        <v/>
      </c>
      <c r="M834" s="9" t="str">
        <f aca="false">IF(B834="","",B834&amp;"|"&amp;COUNTIF(B$2:B834,B834))</f>
        <v/>
      </c>
    </row>
    <row r="835" customFormat="false" ht="15" hidden="false" customHeight="false" outlineLevel="0" collapsed="false">
      <c r="A835" s="5"/>
      <c r="B835" s="6"/>
      <c r="C835" s="6"/>
      <c r="D835" s="6"/>
      <c r="E835" s="7" t="str">
        <f aca="false">IF(D835="","",IFERROR(INDEX(Товары!$B$2:$B$200,MATCH(D835,Товары!$A$2:$A$200,0)),"нет в справочнике"))</f>
        <v/>
      </c>
      <c r="F835" s="6"/>
      <c r="G835" s="8" t="str">
        <f aca="false">IF(D835="","",IFERROR(INDEX(Товары!$C$2:$C$200,MATCH(D835,Товары!$A$2:$A$200,0)),0))</f>
        <v/>
      </c>
      <c r="H835" s="8" t="str">
        <f aca="false">IF(D835="","",F835*G835)</f>
        <v/>
      </c>
      <c r="I835" s="8" t="str">
        <f aca="false">IF(D835="","",F835*IFERROR(INDEX(Товары!$D$2:$D$200,MATCH(D835,Товары!$A$2:$A$200,0)),0))</f>
        <v/>
      </c>
      <c r="J835" s="8" t="str">
        <f aca="false">IF(D835="","",H835-I835)</f>
        <v/>
      </c>
      <c r="K835" s="7" t="str">
        <f aca="false">IF(A835="","",MONTH(A835))</f>
        <v/>
      </c>
      <c r="L835" s="7" t="str">
        <f aca="false">IF(A835="","",YEAR(A835))</f>
        <v/>
      </c>
      <c r="M835" s="9" t="str">
        <f aca="false">IF(B835="","",B835&amp;"|"&amp;COUNTIF(B$2:B835,B835))</f>
        <v/>
      </c>
    </row>
    <row r="836" customFormat="false" ht="15" hidden="false" customHeight="false" outlineLevel="0" collapsed="false">
      <c r="A836" s="5"/>
      <c r="B836" s="6"/>
      <c r="C836" s="6"/>
      <c r="D836" s="6"/>
      <c r="E836" s="7" t="str">
        <f aca="false">IF(D836="","",IFERROR(INDEX(Товары!$B$2:$B$200,MATCH(D836,Товары!$A$2:$A$200,0)),"нет в справочнике"))</f>
        <v/>
      </c>
      <c r="F836" s="6"/>
      <c r="G836" s="8" t="str">
        <f aca="false">IF(D836="","",IFERROR(INDEX(Товары!$C$2:$C$200,MATCH(D836,Товары!$A$2:$A$200,0)),0))</f>
        <v/>
      </c>
      <c r="H836" s="8" t="str">
        <f aca="false">IF(D836="","",F836*G836)</f>
        <v/>
      </c>
      <c r="I836" s="8" t="str">
        <f aca="false">IF(D836="","",F836*IFERROR(INDEX(Товары!$D$2:$D$200,MATCH(D836,Товары!$A$2:$A$200,0)),0))</f>
        <v/>
      </c>
      <c r="J836" s="8" t="str">
        <f aca="false">IF(D836="","",H836-I836)</f>
        <v/>
      </c>
      <c r="K836" s="7" t="str">
        <f aca="false">IF(A836="","",MONTH(A836))</f>
        <v/>
      </c>
      <c r="L836" s="7" t="str">
        <f aca="false">IF(A836="","",YEAR(A836))</f>
        <v/>
      </c>
      <c r="M836" s="9" t="str">
        <f aca="false">IF(B836="","",B836&amp;"|"&amp;COUNTIF(B$2:B836,B836))</f>
        <v/>
      </c>
    </row>
    <row r="837" customFormat="false" ht="15" hidden="false" customHeight="false" outlineLevel="0" collapsed="false">
      <c r="A837" s="5"/>
      <c r="B837" s="6"/>
      <c r="C837" s="6"/>
      <c r="D837" s="6"/>
      <c r="E837" s="7" t="str">
        <f aca="false">IF(D837="","",IFERROR(INDEX(Товары!$B$2:$B$200,MATCH(D837,Товары!$A$2:$A$200,0)),"нет в справочнике"))</f>
        <v/>
      </c>
      <c r="F837" s="6"/>
      <c r="G837" s="8" t="str">
        <f aca="false">IF(D837="","",IFERROR(INDEX(Товары!$C$2:$C$200,MATCH(D837,Товары!$A$2:$A$200,0)),0))</f>
        <v/>
      </c>
      <c r="H837" s="8" t="str">
        <f aca="false">IF(D837="","",F837*G837)</f>
        <v/>
      </c>
      <c r="I837" s="8" t="str">
        <f aca="false">IF(D837="","",F837*IFERROR(INDEX(Товары!$D$2:$D$200,MATCH(D837,Товары!$A$2:$A$200,0)),0))</f>
        <v/>
      </c>
      <c r="J837" s="8" t="str">
        <f aca="false">IF(D837="","",H837-I837)</f>
        <v/>
      </c>
      <c r="K837" s="7" t="str">
        <f aca="false">IF(A837="","",MONTH(A837))</f>
        <v/>
      </c>
      <c r="L837" s="7" t="str">
        <f aca="false">IF(A837="","",YEAR(A837))</f>
        <v/>
      </c>
      <c r="M837" s="9" t="str">
        <f aca="false">IF(B837="","",B837&amp;"|"&amp;COUNTIF(B$2:B837,B837))</f>
        <v/>
      </c>
    </row>
    <row r="838" customFormat="false" ht="15" hidden="false" customHeight="false" outlineLevel="0" collapsed="false">
      <c r="A838" s="5"/>
      <c r="B838" s="6"/>
      <c r="C838" s="6"/>
      <c r="D838" s="6"/>
      <c r="E838" s="7" t="str">
        <f aca="false">IF(D838="","",IFERROR(INDEX(Товары!$B$2:$B$200,MATCH(D838,Товары!$A$2:$A$200,0)),"нет в справочнике"))</f>
        <v/>
      </c>
      <c r="F838" s="6"/>
      <c r="G838" s="8" t="str">
        <f aca="false">IF(D838="","",IFERROR(INDEX(Товары!$C$2:$C$200,MATCH(D838,Товары!$A$2:$A$200,0)),0))</f>
        <v/>
      </c>
      <c r="H838" s="8" t="str">
        <f aca="false">IF(D838="","",F838*G838)</f>
        <v/>
      </c>
      <c r="I838" s="8" t="str">
        <f aca="false">IF(D838="","",F838*IFERROR(INDEX(Товары!$D$2:$D$200,MATCH(D838,Товары!$A$2:$A$200,0)),0))</f>
        <v/>
      </c>
      <c r="J838" s="8" t="str">
        <f aca="false">IF(D838="","",H838-I838)</f>
        <v/>
      </c>
      <c r="K838" s="7" t="str">
        <f aca="false">IF(A838="","",MONTH(A838))</f>
        <v/>
      </c>
      <c r="L838" s="7" t="str">
        <f aca="false">IF(A838="","",YEAR(A838))</f>
        <v/>
      </c>
      <c r="M838" s="9" t="str">
        <f aca="false">IF(B838="","",B838&amp;"|"&amp;COUNTIF(B$2:B838,B838))</f>
        <v/>
      </c>
    </row>
    <row r="839" customFormat="false" ht="15" hidden="false" customHeight="false" outlineLevel="0" collapsed="false">
      <c r="A839" s="5"/>
      <c r="B839" s="6"/>
      <c r="C839" s="6"/>
      <c r="D839" s="6"/>
      <c r="E839" s="7" t="str">
        <f aca="false">IF(D839="","",IFERROR(INDEX(Товары!$B$2:$B$200,MATCH(D839,Товары!$A$2:$A$200,0)),"нет в справочнике"))</f>
        <v/>
      </c>
      <c r="F839" s="6"/>
      <c r="G839" s="8" t="str">
        <f aca="false">IF(D839="","",IFERROR(INDEX(Товары!$C$2:$C$200,MATCH(D839,Товары!$A$2:$A$200,0)),0))</f>
        <v/>
      </c>
      <c r="H839" s="8" t="str">
        <f aca="false">IF(D839="","",F839*G839)</f>
        <v/>
      </c>
      <c r="I839" s="8" t="str">
        <f aca="false">IF(D839="","",F839*IFERROR(INDEX(Товары!$D$2:$D$200,MATCH(D839,Товары!$A$2:$A$200,0)),0))</f>
        <v/>
      </c>
      <c r="J839" s="8" t="str">
        <f aca="false">IF(D839="","",H839-I839)</f>
        <v/>
      </c>
      <c r="K839" s="7" t="str">
        <f aca="false">IF(A839="","",MONTH(A839))</f>
        <v/>
      </c>
      <c r="L839" s="7" t="str">
        <f aca="false">IF(A839="","",YEAR(A839))</f>
        <v/>
      </c>
      <c r="M839" s="9" t="str">
        <f aca="false">IF(B839="","",B839&amp;"|"&amp;COUNTIF(B$2:B839,B839))</f>
        <v/>
      </c>
    </row>
    <row r="840" customFormat="false" ht="15" hidden="false" customHeight="false" outlineLevel="0" collapsed="false">
      <c r="A840" s="5"/>
      <c r="B840" s="6"/>
      <c r="C840" s="6"/>
      <c r="D840" s="6"/>
      <c r="E840" s="7" t="str">
        <f aca="false">IF(D840="","",IFERROR(INDEX(Товары!$B$2:$B$200,MATCH(D840,Товары!$A$2:$A$200,0)),"нет в справочнике"))</f>
        <v/>
      </c>
      <c r="F840" s="6"/>
      <c r="G840" s="8" t="str">
        <f aca="false">IF(D840="","",IFERROR(INDEX(Товары!$C$2:$C$200,MATCH(D840,Товары!$A$2:$A$200,0)),0))</f>
        <v/>
      </c>
      <c r="H840" s="8" t="str">
        <f aca="false">IF(D840="","",F840*G840)</f>
        <v/>
      </c>
      <c r="I840" s="8" t="str">
        <f aca="false">IF(D840="","",F840*IFERROR(INDEX(Товары!$D$2:$D$200,MATCH(D840,Товары!$A$2:$A$200,0)),0))</f>
        <v/>
      </c>
      <c r="J840" s="8" t="str">
        <f aca="false">IF(D840="","",H840-I840)</f>
        <v/>
      </c>
      <c r="K840" s="7" t="str">
        <f aca="false">IF(A840="","",MONTH(A840))</f>
        <v/>
      </c>
      <c r="L840" s="7" t="str">
        <f aca="false">IF(A840="","",YEAR(A840))</f>
        <v/>
      </c>
      <c r="M840" s="9" t="str">
        <f aca="false">IF(B840="","",B840&amp;"|"&amp;COUNTIF(B$2:B840,B840))</f>
        <v/>
      </c>
    </row>
    <row r="841" customFormat="false" ht="15" hidden="false" customHeight="false" outlineLevel="0" collapsed="false">
      <c r="A841" s="5"/>
      <c r="B841" s="6"/>
      <c r="C841" s="6"/>
      <c r="D841" s="6"/>
      <c r="E841" s="7" t="str">
        <f aca="false">IF(D841="","",IFERROR(INDEX(Товары!$B$2:$B$200,MATCH(D841,Товары!$A$2:$A$200,0)),"нет в справочнике"))</f>
        <v/>
      </c>
      <c r="F841" s="6"/>
      <c r="G841" s="8" t="str">
        <f aca="false">IF(D841="","",IFERROR(INDEX(Товары!$C$2:$C$200,MATCH(D841,Товары!$A$2:$A$200,0)),0))</f>
        <v/>
      </c>
      <c r="H841" s="8" t="str">
        <f aca="false">IF(D841="","",F841*G841)</f>
        <v/>
      </c>
      <c r="I841" s="8" t="str">
        <f aca="false">IF(D841="","",F841*IFERROR(INDEX(Товары!$D$2:$D$200,MATCH(D841,Товары!$A$2:$A$200,0)),0))</f>
        <v/>
      </c>
      <c r="J841" s="8" t="str">
        <f aca="false">IF(D841="","",H841-I841)</f>
        <v/>
      </c>
      <c r="K841" s="7" t="str">
        <f aca="false">IF(A841="","",MONTH(A841))</f>
        <v/>
      </c>
      <c r="L841" s="7" t="str">
        <f aca="false">IF(A841="","",YEAR(A841))</f>
        <v/>
      </c>
      <c r="M841" s="9" t="str">
        <f aca="false">IF(B841="","",B841&amp;"|"&amp;COUNTIF(B$2:B841,B841))</f>
        <v/>
      </c>
    </row>
    <row r="842" customFormat="false" ht="15" hidden="false" customHeight="false" outlineLevel="0" collapsed="false">
      <c r="A842" s="5"/>
      <c r="B842" s="6"/>
      <c r="C842" s="6"/>
      <c r="D842" s="6"/>
      <c r="E842" s="7" t="str">
        <f aca="false">IF(D842="","",IFERROR(INDEX(Товары!$B$2:$B$200,MATCH(D842,Товары!$A$2:$A$200,0)),"нет в справочнике"))</f>
        <v/>
      </c>
      <c r="F842" s="6"/>
      <c r="G842" s="8" t="str">
        <f aca="false">IF(D842="","",IFERROR(INDEX(Товары!$C$2:$C$200,MATCH(D842,Товары!$A$2:$A$200,0)),0))</f>
        <v/>
      </c>
      <c r="H842" s="8" t="str">
        <f aca="false">IF(D842="","",F842*G842)</f>
        <v/>
      </c>
      <c r="I842" s="8" t="str">
        <f aca="false">IF(D842="","",F842*IFERROR(INDEX(Товары!$D$2:$D$200,MATCH(D842,Товары!$A$2:$A$200,0)),0))</f>
        <v/>
      </c>
      <c r="J842" s="8" t="str">
        <f aca="false">IF(D842="","",H842-I842)</f>
        <v/>
      </c>
      <c r="K842" s="7" t="str">
        <f aca="false">IF(A842="","",MONTH(A842))</f>
        <v/>
      </c>
      <c r="L842" s="7" t="str">
        <f aca="false">IF(A842="","",YEAR(A842))</f>
        <v/>
      </c>
      <c r="M842" s="9" t="str">
        <f aca="false">IF(B842="","",B842&amp;"|"&amp;COUNTIF(B$2:B842,B842))</f>
        <v/>
      </c>
    </row>
    <row r="843" customFormat="false" ht="15" hidden="false" customHeight="false" outlineLevel="0" collapsed="false">
      <c r="A843" s="5"/>
      <c r="B843" s="6"/>
      <c r="C843" s="6"/>
      <c r="D843" s="6"/>
      <c r="E843" s="7" t="str">
        <f aca="false">IF(D843="","",IFERROR(INDEX(Товары!$B$2:$B$200,MATCH(D843,Товары!$A$2:$A$200,0)),"нет в справочнике"))</f>
        <v/>
      </c>
      <c r="F843" s="6"/>
      <c r="G843" s="8" t="str">
        <f aca="false">IF(D843="","",IFERROR(INDEX(Товары!$C$2:$C$200,MATCH(D843,Товары!$A$2:$A$200,0)),0))</f>
        <v/>
      </c>
      <c r="H843" s="8" t="str">
        <f aca="false">IF(D843="","",F843*G843)</f>
        <v/>
      </c>
      <c r="I843" s="8" t="str">
        <f aca="false">IF(D843="","",F843*IFERROR(INDEX(Товары!$D$2:$D$200,MATCH(D843,Товары!$A$2:$A$200,0)),0))</f>
        <v/>
      </c>
      <c r="J843" s="8" t="str">
        <f aca="false">IF(D843="","",H843-I843)</f>
        <v/>
      </c>
      <c r="K843" s="7" t="str">
        <f aca="false">IF(A843="","",MONTH(A843))</f>
        <v/>
      </c>
      <c r="L843" s="7" t="str">
        <f aca="false">IF(A843="","",YEAR(A843))</f>
        <v/>
      </c>
      <c r="M843" s="9" t="str">
        <f aca="false">IF(B843="","",B843&amp;"|"&amp;COUNTIF(B$2:B843,B843))</f>
        <v/>
      </c>
    </row>
    <row r="844" customFormat="false" ht="15" hidden="false" customHeight="false" outlineLevel="0" collapsed="false">
      <c r="A844" s="5"/>
      <c r="B844" s="6"/>
      <c r="C844" s="6"/>
      <c r="D844" s="6"/>
      <c r="E844" s="7" t="str">
        <f aca="false">IF(D844="","",IFERROR(INDEX(Товары!$B$2:$B$200,MATCH(D844,Товары!$A$2:$A$200,0)),"нет в справочнике"))</f>
        <v/>
      </c>
      <c r="F844" s="6"/>
      <c r="G844" s="8" t="str">
        <f aca="false">IF(D844="","",IFERROR(INDEX(Товары!$C$2:$C$200,MATCH(D844,Товары!$A$2:$A$200,0)),0))</f>
        <v/>
      </c>
      <c r="H844" s="8" t="str">
        <f aca="false">IF(D844="","",F844*G844)</f>
        <v/>
      </c>
      <c r="I844" s="8" t="str">
        <f aca="false">IF(D844="","",F844*IFERROR(INDEX(Товары!$D$2:$D$200,MATCH(D844,Товары!$A$2:$A$200,0)),0))</f>
        <v/>
      </c>
      <c r="J844" s="8" t="str">
        <f aca="false">IF(D844="","",H844-I844)</f>
        <v/>
      </c>
      <c r="K844" s="7" t="str">
        <f aca="false">IF(A844="","",MONTH(A844))</f>
        <v/>
      </c>
      <c r="L844" s="7" t="str">
        <f aca="false">IF(A844="","",YEAR(A844))</f>
        <v/>
      </c>
      <c r="M844" s="9" t="str">
        <f aca="false">IF(B844="","",B844&amp;"|"&amp;COUNTIF(B$2:B844,B844))</f>
        <v/>
      </c>
    </row>
    <row r="845" customFormat="false" ht="15" hidden="false" customHeight="false" outlineLevel="0" collapsed="false">
      <c r="A845" s="5"/>
      <c r="B845" s="6"/>
      <c r="C845" s="6"/>
      <c r="D845" s="6"/>
      <c r="E845" s="7" t="str">
        <f aca="false">IF(D845="","",IFERROR(INDEX(Товары!$B$2:$B$200,MATCH(D845,Товары!$A$2:$A$200,0)),"нет в справочнике"))</f>
        <v/>
      </c>
      <c r="F845" s="6"/>
      <c r="G845" s="8" t="str">
        <f aca="false">IF(D845="","",IFERROR(INDEX(Товары!$C$2:$C$200,MATCH(D845,Товары!$A$2:$A$200,0)),0))</f>
        <v/>
      </c>
      <c r="H845" s="8" t="str">
        <f aca="false">IF(D845="","",F845*G845)</f>
        <v/>
      </c>
      <c r="I845" s="8" t="str">
        <f aca="false">IF(D845="","",F845*IFERROR(INDEX(Товары!$D$2:$D$200,MATCH(D845,Товары!$A$2:$A$200,0)),0))</f>
        <v/>
      </c>
      <c r="J845" s="8" t="str">
        <f aca="false">IF(D845="","",H845-I845)</f>
        <v/>
      </c>
      <c r="K845" s="7" t="str">
        <f aca="false">IF(A845="","",MONTH(A845))</f>
        <v/>
      </c>
      <c r="L845" s="7" t="str">
        <f aca="false">IF(A845="","",YEAR(A845))</f>
        <v/>
      </c>
      <c r="M845" s="9" t="str">
        <f aca="false">IF(B845="","",B845&amp;"|"&amp;COUNTIF(B$2:B845,B845))</f>
        <v/>
      </c>
    </row>
    <row r="846" customFormat="false" ht="15" hidden="false" customHeight="false" outlineLevel="0" collapsed="false">
      <c r="A846" s="5"/>
      <c r="B846" s="6"/>
      <c r="C846" s="6"/>
      <c r="D846" s="6"/>
      <c r="E846" s="7" t="str">
        <f aca="false">IF(D846="","",IFERROR(INDEX(Товары!$B$2:$B$200,MATCH(D846,Товары!$A$2:$A$200,0)),"нет в справочнике"))</f>
        <v/>
      </c>
      <c r="F846" s="6"/>
      <c r="G846" s="8" t="str">
        <f aca="false">IF(D846="","",IFERROR(INDEX(Товары!$C$2:$C$200,MATCH(D846,Товары!$A$2:$A$200,0)),0))</f>
        <v/>
      </c>
      <c r="H846" s="8" t="str">
        <f aca="false">IF(D846="","",F846*G846)</f>
        <v/>
      </c>
      <c r="I846" s="8" t="str">
        <f aca="false">IF(D846="","",F846*IFERROR(INDEX(Товары!$D$2:$D$200,MATCH(D846,Товары!$A$2:$A$200,0)),0))</f>
        <v/>
      </c>
      <c r="J846" s="8" t="str">
        <f aca="false">IF(D846="","",H846-I846)</f>
        <v/>
      </c>
      <c r="K846" s="7" t="str">
        <f aca="false">IF(A846="","",MONTH(A846))</f>
        <v/>
      </c>
      <c r="L846" s="7" t="str">
        <f aca="false">IF(A846="","",YEAR(A846))</f>
        <v/>
      </c>
      <c r="M846" s="9" t="str">
        <f aca="false">IF(B846="","",B846&amp;"|"&amp;COUNTIF(B$2:B846,B846))</f>
        <v/>
      </c>
    </row>
    <row r="847" customFormat="false" ht="15" hidden="false" customHeight="false" outlineLevel="0" collapsed="false">
      <c r="A847" s="5"/>
      <c r="B847" s="6"/>
      <c r="C847" s="6"/>
      <c r="D847" s="6"/>
      <c r="E847" s="7" t="str">
        <f aca="false">IF(D847="","",IFERROR(INDEX(Товары!$B$2:$B$200,MATCH(D847,Товары!$A$2:$A$200,0)),"нет в справочнике"))</f>
        <v/>
      </c>
      <c r="F847" s="6"/>
      <c r="G847" s="8" t="str">
        <f aca="false">IF(D847="","",IFERROR(INDEX(Товары!$C$2:$C$200,MATCH(D847,Товары!$A$2:$A$200,0)),0))</f>
        <v/>
      </c>
      <c r="H847" s="8" t="str">
        <f aca="false">IF(D847="","",F847*G847)</f>
        <v/>
      </c>
      <c r="I847" s="8" t="str">
        <f aca="false">IF(D847="","",F847*IFERROR(INDEX(Товары!$D$2:$D$200,MATCH(D847,Товары!$A$2:$A$200,0)),0))</f>
        <v/>
      </c>
      <c r="J847" s="8" t="str">
        <f aca="false">IF(D847="","",H847-I847)</f>
        <v/>
      </c>
      <c r="K847" s="7" t="str">
        <f aca="false">IF(A847="","",MONTH(A847))</f>
        <v/>
      </c>
      <c r="L847" s="7" t="str">
        <f aca="false">IF(A847="","",YEAR(A847))</f>
        <v/>
      </c>
      <c r="M847" s="9" t="str">
        <f aca="false">IF(B847="","",B847&amp;"|"&amp;COUNTIF(B$2:B847,B847))</f>
        <v/>
      </c>
    </row>
    <row r="848" customFormat="false" ht="15" hidden="false" customHeight="false" outlineLevel="0" collapsed="false">
      <c r="A848" s="5"/>
      <c r="B848" s="6"/>
      <c r="C848" s="6"/>
      <c r="D848" s="6"/>
      <c r="E848" s="7" t="str">
        <f aca="false">IF(D848="","",IFERROR(INDEX(Товары!$B$2:$B$200,MATCH(D848,Товары!$A$2:$A$200,0)),"нет в справочнике"))</f>
        <v/>
      </c>
      <c r="F848" s="6"/>
      <c r="G848" s="8" t="str">
        <f aca="false">IF(D848="","",IFERROR(INDEX(Товары!$C$2:$C$200,MATCH(D848,Товары!$A$2:$A$200,0)),0))</f>
        <v/>
      </c>
      <c r="H848" s="8" t="str">
        <f aca="false">IF(D848="","",F848*G848)</f>
        <v/>
      </c>
      <c r="I848" s="8" t="str">
        <f aca="false">IF(D848="","",F848*IFERROR(INDEX(Товары!$D$2:$D$200,MATCH(D848,Товары!$A$2:$A$200,0)),0))</f>
        <v/>
      </c>
      <c r="J848" s="8" t="str">
        <f aca="false">IF(D848="","",H848-I848)</f>
        <v/>
      </c>
      <c r="K848" s="7" t="str">
        <f aca="false">IF(A848="","",MONTH(A848))</f>
        <v/>
      </c>
      <c r="L848" s="7" t="str">
        <f aca="false">IF(A848="","",YEAR(A848))</f>
        <v/>
      </c>
      <c r="M848" s="9" t="str">
        <f aca="false">IF(B848="","",B848&amp;"|"&amp;COUNTIF(B$2:B848,B848))</f>
        <v/>
      </c>
    </row>
    <row r="849" customFormat="false" ht="15" hidden="false" customHeight="false" outlineLevel="0" collapsed="false">
      <c r="A849" s="5"/>
      <c r="B849" s="6"/>
      <c r="C849" s="6"/>
      <c r="D849" s="6"/>
      <c r="E849" s="7" t="str">
        <f aca="false">IF(D849="","",IFERROR(INDEX(Товары!$B$2:$B$200,MATCH(D849,Товары!$A$2:$A$200,0)),"нет в справочнике"))</f>
        <v/>
      </c>
      <c r="F849" s="6"/>
      <c r="G849" s="8" t="str">
        <f aca="false">IF(D849="","",IFERROR(INDEX(Товары!$C$2:$C$200,MATCH(D849,Товары!$A$2:$A$200,0)),0))</f>
        <v/>
      </c>
      <c r="H849" s="8" t="str">
        <f aca="false">IF(D849="","",F849*G849)</f>
        <v/>
      </c>
      <c r="I849" s="8" t="str">
        <f aca="false">IF(D849="","",F849*IFERROR(INDEX(Товары!$D$2:$D$200,MATCH(D849,Товары!$A$2:$A$200,0)),0))</f>
        <v/>
      </c>
      <c r="J849" s="8" t="str">
        <f aca="false">IF(D849="","",H849-I849)</f>
        <v/>
      </c>
      <c r="K849" s="7" t="str">
        <f aca="false">IF(A849="","",MONTH(A849))</f>
        <v/>
      </c>
      <c r="L849" s="7" t="str">
        <f aca="false">IF(A849="","",YEAR(A849))</f>
        <v/>
      </c>
      <c r="M849" s="9" t="str">
        <f aca="false">IF(B849="","",B849&amp;"|"&amp;COUNTIF(B$2:B849,B849))</f>
        <v/>
      </c>
    </row>
    <row r="850" customFormat="false" ht="15" hidden="false" customHeight="false" outlineLevel="0" collapsed="false">
      <c r="A850" s="5"/>
      <c r="B850" s="6"/>
      <c r="C850" s="6"/>
      <c r="D850" s="6"/>
      <c r="E850" s="7" t="str">
        <f aca="false">IF(D850="","",IFERROR(INDEX(Товары!$B$2:$B$200,MATCH(D850,Товары!$A$2:$A$200,0)),"нет в справочнике"))</f>
        <v/>
      </c>
      <c r="F850" s="6"/>
      <c r="G850" s="8" t="str">
        <f aca="false">IF(D850="","",IFERROR(INDEX(Товары!$C$2:$C$200,MATCH(D850,Товары!$A$2:$A$200,0)),0))</f>
        <v/>
      </c>
      <c r="H850" s="8" t="str">
        <f aca="false">IF(D850="","",F850*G850)</f>
        <v/>
      </c>
      <c r="I850" s="8" t="str">
        <f aca="false">IF(D850="","",F850*IFERROR(INDEX(Товары!$D$2:$D$200,MATCH(D850,Товары!$A$2:$A$200,0)),0))</f>
        <v/>
      </c>
      <c r="J850" s="8" t="str">
        <f aca="false">IF(D850="","",H850-I850)</f>
        <v/>
      </c>
      <c r="K850" s="7" t="str">
        <f aca="false">IF(A850="","",MONTH(A850))</f>
        <v/>
      </c>
      <c r="L850" s="7" t="str">
        <f aca="false">IF(A850="","",YEAR(A850))</f>
        <v/>
      </c>
      <c r="M850" s="9" t="str">
        <f aca="false">IF(B850="","",B850&amp;"|"&amp;COUNTIF(B$2:B850,B850))</f>
        <v/>
      </c>
    </row>
    <row r="851" customFormat="false" ht="15" hidden="false" customHeight="false" outlineLevel="0" collapsed="false">
      <c r="A851" s="5"/>
      <c r="B851" s="6"/>
      <c r="C851" s="6"/>
      <c r="D851" s="6"/>
      <c r="E851" s="7" t="str">
        <f aca="false">IF(D851="","",IFERROR(INDEX(Товары!$B$2:$B$200,MATCH(D851,Товары!$A$2:$A$200,0)),"нет в справочнике"))</f>
        <v/>
      </c>
      <c r="F851" s="6"/>
      <c r="G851" s="8" t="str">
        <f aca="false">IF(D851="","",IFERROR(INDEX(Товары!$C$2:$C$200,MATCH(D851,Товары!$A$2:$A$200,0)),0))</f>
        <v/>
      </c>
      <c r="H851" s="8" t="str">
        <f aca="false">IF(D851="","",F851*G851)</f>
        <v/>
      </c>
      <c r="I851" s="8" t="str">
        <f aca="false">IF(D851="","",F851*IFERROR(INDEX(Товары!$D$2:$D$200,MATCH(D851,Товары!$A$2:$A$200,0)),0))</f>
        <v/>
      </c>
      <c r="J851" s="8" t="str">
        <f aca="false">IF(D851="","",H851-I851)</f>
        <v/>
      </c>
      <c r="K851" s="7" t="str">
        <f aca="false">IF(A851="","",MONTH(A851))</f>
        <v/>
      </c>
      <c r="L851" s="7" t="str">
        <f aca="false">IF(A851="","",YEAR(A851))</f>
        <v/>
      </c>
      <c r="M851" s="9" t="str">
        <f aca="false">IF(B851="","",B851&amp;"|"&amp;COUNTIF(B$2:B851,B851))</f>
        <v/>
      </c>
    </row>
    <row r="852" customFormat="false" ht="15" hidden="false" customHeight="false" outlineLevel="0" collapsed="false">
      <c r="A852" s="5"/>
      <c r="B852" s="6"/>
      <c r="C852" s="6"/>
      <c r="D852" s="6"/>
      <c r="E852" s="7" t="str">
        <f aca="false">IF(D852="","",IFERROR(INDEX(Товары!$B$2:$B$200,MATCH(D852,Товары!$A$2:$A$200,0)),"нет в справочнике"))</f>
        <v/>
      </c>
      <c r="F852" s="6"/>
      <c r="G852" s="8" t="str">
        <f aca="false">IF(D852="","",IFERROR(INDEX(Товары!$C$2:$C$200,MATCH(D852,Товары!$A$2:$A$200,0)),0))</f>
        <v/>
      </c>
      <c r="H852" s="8" t="str">
        <f aca="false">IF(D852="","",F852*G852)</f>
        <v/>
      </c>
      <c r="I852" s="8" t="str">
        <f aca="false">IF(D852="","",F852*IFERROR(INDEX(Товары!$D$2:$D$200,MATCH(D852,Товары!$A$2:$A$200,0)),0))</f>
        <v/>
      </c>
      <c r="J852" s="8" t="str">
        <f aca="false">IF(D852="","",H852-I852)</f>
        <v/>
      </c>
      <c r="K852" s="7" t="str">
        <f aca="false">IF(A852="","",MONTH(A852))</f>
        <v/>
      </c>
      <c r="L852" s="7" t="str">
        <f aca="false">IF(A852="","",YEAR(A852))</f>
        <v/>
      </c>
      <c r="M852" s="9" t="str">
        <f aca="false">IF(B852="","",B852&amp;"|"&amp;COUNTIF(B$2:B852,B852))</f>
        <v/>
      </c>
    </row>
    <row r="853" customFormat="false" ht="15" hidden="false" customHeight="false" outlineLevel="0" collapsed="false">
      <c r="A853" s="5"/>
      <c r="B853" s="6"/>
      <c r="C853" s="6"/>
      <c r="D853" s="6"/>
      <c r="E853" s="7" t="str">
        <f aca="false">IF(D853="","",IFERROR(INDEX(Товары!$B$2:$B$200,MATCH(D853,Товары!$A$2:$A$200,0)),"нет в справочнике"))</f>
        <v/>
      </c>
      <c r="F853" s="6"/>
      <c r="G853" s="8" t="str">
        <f aca="false">IF(D853="","",IFERROR(INDEX(Товары!$C$2:$C$200,MATCH(D853,Товары!$A$2:$A$200,0)),0))</f>
        <v/>
      </c>
      <c r="H853" s="8" t="str">
        <f aca="false">IF(D853="","",F853*G853)</f>
        <v/>
      </c>
      <c r="I853" s="8" t="str">
        <f aca="false">IF(D853="","",F853*IFERROR(INDEX(Товары!$D$2:$D$200,MATCH(D853,Товары!$A$2:$A$200,0)),0))</f>
        <v/>
      </c>
      <c r="J853" s="8" t="str">
        <f aca="false">IF(D853="","",H853-I853)</f>
        <v/>
      </c>
      <c r="K853" s="7" t="str">
        <f aca="false">IF(A853="","",MONTH(A853))</f>
        <v/>
      </c>
      <c r="L853" s="7" t="str">
        <f aca="false">IF(A853="","",YEAR(A853))</f>
        <v/>
      </c>
      <c r="M853" s="9" t="str">
        <f aca="false">IF(B853="","",B853&amp;"|"&amp;COUNTIF(B$2:B853,B853))</f>
        <v/>
      </c>
    </row>
    <row r="854" customFormat="false" ht="15" hidden="false" customHeight="false" outlineLevel="0" collapsed="false">
      <c r="A854" s="5"/>
      <c r="B854" s="6"/>
      <c r="C854" s="6"/>
      <c r="D854" s="6"/>
      <c r="E854" s="7" t="str">
        <f aca="false">IF(D854="","",IFERROR(INDEX(Товары!$B$2:$B$200,MATCH(D854,Товары!$A$2:$A$200,0)),"нет в справочнике"))</f>
        <v/>
      </c>
      <c r="F854" s="6"/>
      <c r="G854" s="8" t="str">
        <f aca="false">IF(D854="","",IFERROR(INDEX(Товары!$C$2:$C$200,MATCH(D854,Товары!$A$2:$A$200,0)),0))</f>
        <v/>
      </c>
      <c r="H854" s="8" t="str">
        <f aca="false">IF(D854="","",F854*G854)</f>
        <v/>
      </c>
      <c r="I854" s="8" t="str">
        <f aca="false">IF(D854="","",F854*IFERROR(INDEX(Товары!$D$2:$D$200,MATCH(D854,Товары!$A$2:$A$200,0)),0))</f>
        <v/>
      </c>
      <c r="J854" s="8" t="str">
        <f aca="false">IF(D854="","",H854-I854)</f>
        <v/>
      </c>
      <c r="K854" s="7" t="str">
        <f aca="false">IF(A854="","",MONTH(A854))</f>
        <v/>
      </c>
      <c r="L854" s="7" t="str">
        <f aca="false">IF(A854="","",YEAR(A854))</f>
        <v/>
      </c>
      <c r="M854" s="9" t="str">
        <f aca="false">IF(B854="","",B854&amp;"|"&amp;COUNTIF(B$2:B854,B854))</f>
        <v/>
      </c>
    </row>
    <row r="855" customFormat="false" ht="15" hidden="false" customHeight="false" outlineLevel="0" collapsed="false">
      <c r="A855" s="5"/>
      <c r="B855" s="6"/>
      <c r="C855" s="6"/>
      <c r="D855" s="6"/>
      <c r="E855" s="7" t="str">
        <f aca="false">IF(D855="","",IFERROR(INDEX(Товары!$B$2:$B$200,MATCH(D855,Товары!$A$2:$A$200,0)),"нет в справочнике"))</f>
        <v/>
      </c>
      <c r="F855" s="6"/>
      <c r="G855" s="8" t="str">
        <f aca="false">IF(D855="","",IFERROR(INDEX(Товары!$C$2:$C$200,MATCH(D855,Товары!$A$2:$A$200,0)),0))</f>
        <v/>
      </c>
      <c r="H855" s="8" t="str">
        <f aca="false">IF(D855="","",F855*G855)</f>
        <v/>
      </c>
      <c r="I855" s="8" t="str">
        <f aca="false">IF(D855="","",F855*IFERROR(INDEX(Товары!$D$2:$D$200,MATCH(D855,Товары!$A$2:$A$200,0)),0))</f>
        <v/>
      </c>
      <c r="J855" s="8" t="str">
        <f aca="false">IF(D855="","",H855-I855)</f>
        <v/>
      </c>
      <c r="K855" s="7" t="str">
        <f aca="false">IF(A855="","",MONTH(A855))</f>
        <v/>
      </c>
      <c r="L855" s="7" t="str">
        <f aca="false">IF(A855="","",YEAR(A855))</f>
        <v/>
      </c>
      <c r="M855" s="9" t="str">
        <f aca="false">IF(B855="","",B855&amp;"|"&amp;COUNTIF(B$2:B855,B855))</f>
        <v/>
      </c>
    </row>
    <row r="856" customFormat="false" ht="15" hidden="false" customHeight="false" outlineLevel="0" collapsed="false">
      <c r="A856" s="5"/>
      <c r="B856" s="6"/>
      <c r="C856" s="6"/>
      <c r="D856" s="6"/>
      <c r="E856" s="7" t="str">
        <f aca="false">IF(D856="","",IFERROR(INDEX(Товары!$B$2:$B$200,MATCH(D856,Товары!$A$2:$A$200,0)),"нет в справочнике"))</f>
        <v/>
      </c>
      <c r="F856" s="6"/>
      <c r="G856" s="8" t="str">
        <f aca="false">IF(D856="","",IFERROR(INDEX(Товары!$C$2:$C$200,MATCH(D856,Товары!$A$2:$A$200,0)),0))</f>
        <v/>
      </c>
      <c r="H856" s="8" t="str">
        <f aca="false">IF(D856="","",F856*G856)</f>
        <v/>
      </c>
      <c r="I856" s="8" t="str">
        <f aca="false">IF(D856="","",F856*IFERROR(INDEX(Товары!$D$2:$D$200,MATCH(D856,Товары!$A$2:$A$200,0)),0))</f>
        <v/>
      </c>
      <c r="J856" s="8" t="str">
        <f aca="false">IF(D856="","",H856-I856)</f>
        <v/>
      </c>
      <c r="K856" s="7" t="str">
        <f aca="false">IF(A856="","",MONTH(A856))</f>
        <v/>
      </c>
      <c r="L856" s="7" t="str">
        <f aca="false">IF(A856="","",YEAR(A856))</f>
        <v/>
      </c>
      <c r="M856" s="9" t="str">
        <f aca="false">IF(B856="","",B856&amp;"|"&amp;COUNTIF(B$2:B856,B856))</f>
        <v/>
      </c>
    </row>
    <row r="857" customFormat="false" ht="15" hidden="false" customHeight="false" outlineLevel="0" collapsed="false">
      <c r="A857" s="5"/>
      <c r="B857" s="6"/>
      <c r="C857" s="6"/>
      <c r="D857" s="6"/>
      <c r="E857" s="7" t="str">
        <f aca="false">IF(D857="","",IFERROR(INDEX(Товары!$B$2:$B$200,MATCH(D857,Товары!$A$2:$A$200,0)),"нет в справочнике"))</f>
        <v/>
      </c>
      <c r="F857" s="6"/>
      <c r="G857" s="8" t="str">
        <f aca="false">IF(D857="","",IFERROR(INDEX(Товары!$C$2:$C$200,MATCH(D857,Товары!$A$2:$A$200,0)),0))</f>
        <v/>
      </c>
      <c r="H857" s="8" t="str">
        <f aca="false">IF(D857="","",F857*G857)</f>
        <v/>
      </c>
      <c r="I857" s="8" t="str">
        <f aca="false">IF(D857="","",F857*IFERROR(INDEX(Товары!$D$2:$D$200,MATCH(D857,Товары!$A$2:$A$200,0)),0))</f>
        <v/>
      </c>
      <c r="J857" s="8" t="str">
        <f aca="false">IF(D857="","",H857-I857)</f>
        <v/>
      </c>
      <c r="K857" s="7" t="str">
        <f aca="false">IF(A857="","",MONTH(A857))</f>
        <v/>
      </c>
      <c r="L857" s="7" t="str">
        <f aca="false">IF(A857="","",YEAR(A857))</f>
        <v/>
      </c>
      <c r="M857" s="9" t="str">
        <f aca="false">IF(B857="","",B857&amp;"|"&amp;COUNTIF(B$2:B857,B857))</f>
        <v/>
      </c>
    </row>
    <row r="858" customFormat="false" ht="15" hidden="false" customHeight="false" outlineLevel="0" collapsed="false">
      <c r="A858" s="5"/>
      <c r="B858" s="6"/>
      <c r="C858" s="6"/>
      <c r="D858" s="6"/>
      <c r="E858" s="7" t="str">
        <f aca="false">IF(D858="","",IFERROR(INDEX(Товары!$B$2:$B$200,MATCH(D858,Товары!$A$2:$A$200,0)),"нет в справочнике"))</f>
        <v/>
      </c>
      <c r="F858" s="6"/>
      <c r="G858" s="8" t="str">
        <f aca="false">IF(D858="","",IFERROR(INDEX(Товары!$C$2:$C$200,MATCH(D858,Товары!$A$2:$A$200,0)),0))</f>
        <v/>
      </c>
      <c r="H858" s="8" t="str">
        <f aca="false">IF(D858="","",F858*G858)</f>
        <v/>
      </c>
      <c r="I858" s="8" t="str">
        <f aca="false">IF(D858="","",F858*IFERROR(INDEX(Товары!$D$2:$D$200,MATCH(D858,Товары!$A$2:$A$200,0)),0))</f>
        <v/>
      </c>
      <c r="J858" s="8" t="str">
        <f aca="false">IF(D858="","",H858-I858)</f>
        <v/>
      </c>
      <c r="K858" s="7" t="str">
        <f aca="false">IF(A858="","",MONTH(A858))</f>
        <v/>
      </c>
      <c r="L858" s="7" t="str">
        <f aca="false">IF(A858="","",YEAR(A858))</f>
        <v/>
      </c>
      <c r="M858" s="9" t="str">
        <f aca="false">IF(B858="","",B858&amp;"|"&amp;COUNTIF(B$2:B858,B858))</f>
        <v/>
      </c>
    </row>
    <row r="859" customFormat="false" ht="15" hidden="false" customHeight="false" outlineLevel="0" collapsed="false">
      <c r="A859" s="5"/>
      <c r="B859" s="6"/>
      <c r="C859" s="6"/>
      <c r="D859" s="6"/>
      <c r="E859" s="7" t="str">
        <f aca="false">IF(D859="","",IFERROR(INDEX(Товары!$B$2:$B$200,MATCH(D859,Товары!$A$2:$A$200,0)),"нет в справочнике"))</f>
        <v/>
      </c>
      <c r="F859" s="6"/>
      <c r="G859" s="8" t="str">
        <f aca="false">IF(D859="","",IFERROR(INDEX(Товары!$C$2:$C$200,MATCH(D859,Товары!$A$2:$A$200,0)),0))</f>
        <v/>
      </c>
      <c r="H859" s="8" t="str">
        <f aca="false">IF(D859="","",F859*G859)</f>
        <v/>
      </c>
      <c r="I859" s="8" t="str">
        <f aca="false">IF(D859="","",F859*IFERROR(INDEX(Товары!$D$2:$D$200,MATCH(D859,Товары!$A$2:$A$200,0)),0))</f>
        <v/>
      </c>
      <c r="J859" s="8" t="str">
        <f aca="false">IF(D859="","",H859-I859)</f>
        <v/>
      </c>
      <c r="K859" s="7" t="str">
        <f aca="false">IF(A859="","",MONTH(A859))</f>
        <v/>
      </c>
      <c r="L859" s="7" t="str">
        <f aca="false">IF(A859="","",YEAR(A859))</f>
        <v/>
      </c>
      <c r="M859" s="9" t="str">
        <f aca="false">IF(B859="","",B859&amp;"|"&amp;COUNTIF(B$2:B859,B859))</f>
        <v/>
      </c>
    </row>
    <row r="860" customFormat="false" ht="15" hidden="false" customHeight="false" outlineLevel="0" collapsed="false">
      <c r="A860" s="5"/>
      <c r="B860" s="6"/>
      <c r="C860" s="6"/>
      <c r="D860" s="6"/>
      <c r="E860" s="7" t="str">
        <f aca="false">IF(D860="","",IFERROR(INDEX(Товары!$B$2:$B$200,MATCH(D860,Товары!$A$2:$A$200,0)),"нет в справочнике"))</f>
        <v/>
      </c>
      <c r="F860" s="6"/>
      <c r="G860" s="8" t="str">
        <f aca="false">IF(D860="","",IFERROR(INDEX(Товары!$C$2:$C$200,MATCH(D860,Товары!$A$2:$A$200,0)),0))</f>
        <v/>
      </c>
      <c r="H860" s="8" t="str">
        <f aca="false">IF(D860="","",F860*G860)</f>
        <v/>
      </c>
      <c r="I860" s="8" t="str">
        <f aca="false">IF(D860="","",F860*IFERROR(INDEX(Товары!$D$2:$D$200,MATCH(D860,Товары!$A$2:$A$200,0)),0))</f>
        <v/>
      </c>
      <c r="J860" s="8" t="str">
        <f aca="false">IF(D860="","",H860-I860)</f>
        <v/>
      </c>
      <c r="K860" s="7" t="str">
        <f aca="false">IF(A860="","",MONTH(A860))</f>
        <v/>
      </c>
      <c r="L860" s="7" t="str">
        <f aca="false">IF(A860="","",YEAR(A860))</f>
        <v/>
      </c>
      <c r="M860" s="9" t="str">
        <f aca="false">IF(B860="","",B860&amp;"|"&amp;COUNTIF(B$2:B860,B860))</f>
        <v/>
      </c>
    </row>
    <row r="861" customFormat="false" ht="15" hidden="false" customHeight="false" outlineLevel="0" collapsed="false">
      <c r="A861" s="5"/>
      <c r="B861" s="6"/>
      <c r="C861" s="6"/>
      <c r="D861" s="6"/>
      <c r="E861" s="7" t="str">
        <f aca="false">IF(D861="","",IFERROR(INDEX(Товары!$B$2:$B$200,MATCH(D861,Товары!$A$2:$A$200,0)),"нет в справочнике"))</f>
        <v/>
      </c>
      <c r="F861" s="6"/>
      <c r="G861" s="8" t="str">
        <f aca="false">IF(D861="","",IFERROR(INDEX(Товары!$C$2:$C$200,MATCH(D861,Товары!$A$2:$A$200,0)),0))</f>
        <v/>
      </c>
      <c r="H861" s="8" t="str">
        <f aca="false">IF(D861="","",F861*G861)</f>
        <v/>
      </c>
      <c r="I861" s="8" t="str">
        <f aca="false">IF(D861="","",F861*IFERROR(INDEX(Товары!$D$2:$D$200,MATCH(D861,Товары!$A$2:$A$200,0)),0))</f>
        <v/>
      </c>
      <c r="J861" s="8" t="str">
        <f aca="false">IF(D861="","",H861-I861)</f>
        <v/>
      </c>
      <c r="K861" s="7" t="str">
        <f aca="false">IF(A861="","",MONTH(A861))</f>
        <v/>
      </c>
      <c r="L861" s="7" t="str">
        <f aca="false">IF(A861="","",YEAR(A861))</f>
        <v/>
      </c>
      <c r="M861" s="9" t="str">
        <f aca="false">IF(B861="","",B861&amp;"|"&amp;COUNTIF(B$2:B861,B861))</f>
        <v/>
      </c>
    </row>
    <row r="862" customFormat="false" ht="15" hidden="false" customHeight="false" outlineLevel="0" collapsed="false">
      <c r="A862" s="5"/>
      <c r="B862" s="6"/>
      <c r="C862" s="6"/>
      <c r="D862" s="6"/>
      <c r="E862" s="7" t="str">
        <f aca="false">IF(D862="","",IFERROR(INDEX(Товары!$B$2:$B$200,MATCH(D862,Товары!$A$2:$A$200,0)),"нет в справочнике"))</f>
        <v/>
      </c>
      <c r="F862" s="6"/>
      <c r="G862" s="8" t="str">
        <f aca="false">IF(D862="","",IFERROR(INDEX(Товары!$C$2:$C$200,MATCH(D862,Товары!$A$2:$A$200,0)),0))</f>
        <v/>
      </c>
      <c r="H862" s="8" t="str">
        <f aca="false">IF(D862="","",F862*G862)</f>
        <v/>
      </c>
      <c r="I862" s="8" t="str">
        <f aca="false">IF(D862="","",F862*IFERROR(INDEX(Товары!$D$2:$D$200,MATCH(D862,Товары!$A$2:$A$200,0)),0))</f>
        <v/>
      </c>
      <c r="J862" s="8" t="str">
        <f aca="false">IF(D862="","",H862-I862)</f>
        <v/>
      </c>
      <c r="K862" s="7" t="str">
        <f aca="false">IF(A862="","",MONTH(A862))</f>
        <v/>
      </c>
      <c r="L862" s="7" t="str">
        <f aca="false">IF(A862="","",YEAR(A862))</f>
        <v/>
      </c>
      <c r="M862" s="9" t="str">
        <f aca="false">IF(B862="","",B862&amp;"|"&amp;COUNTIF(B$2:B862,B862))</f>
        <v/>
      </c>
    </row>
    <row r="863" customFormat="false" ht="15" hidden="false" customHeight="false" outlineLevel="0" collapsed="false">
      <c r="A863" s="5"/>
      <c r="B863" s="6"/>
      <c r="C863" s="6"/>
      <c r="D863" s="6"/>
      <c r="E863" s="7" t="str">
        <f aca="false">IF(D863="","",IFERROR(INDEX(Товары!$B$2:$B$200,MATCH(D863,Товары!$A$2:$A$200,0)),"нет в справочнике"))</f>
        <v/>
      </c>
      <c r="F863" s="6"/>
      <c r="G863" s="8" t="str">
        <f aca="false">IF(D863="","",IFERROR(INDEX(Товары!$C$2:$C$200,MATCH(D863,Товары!$A$2:$A$200,0)),0))</f>
        <v/>
      </c>
      <c r="H863" s="8" t="str">
        <f aca="false">IF(D863="","",F863*G863)</f>
        <v/>
      </c>
      <c r="I863" s="8" t="str">
        <f aca="false">IF(D863="","",F863*IFERROR(INDEX(Товары!$D$2:$D$200,MATCH(D863,Товары!$A$2:$A$200,0)),0))</f>
        <v/>
      </c>
      <c r="J863" s="8" t="str">
        <f aca="false">IF(D863="","",H863-I863)</f>
        <v/>
      </c>
      <c r="K863" s="7" t="str">
        <f aca="false">IF(A863="","",MONTH(A863))</f>
        <v/>
      </c>
      <c r="L863" s="7" t="str">
        <f aca="false">IF(A863="","",YEAR(A863))</f>
        <v/>
      </c>
      <c r="M863" s="9" t="str">
        <f aca="false">IF(B863="","",B863&amp;"|"&amp;COUNTIF(B$2:B863,B863))</f>
        <v/>
      </c>
    </row>
    <row r="864" customFormat="false" ht="15" hidden="false" customHeight="false" outlineLevel="0" collapsed="false">
      <c r="A864" s="5"/>
      <c r="B864" s="6"/>
      <c r="C864" s="6"/>
      <c r="D864" s="6"/>
      <c r="E864" s="7" t="str">
        <f aca="false">IF(D864="","",IFERROR(INDEX(Товары!$B$2:$B$200,MATCH(D864,Товары!$A$2:$A$200,0)),"нет в справочнике"))</f>
        <v/>
      </c>
      <c r="F864" s="6"/>
      <c r="G864" s="8" t="str">
        <f aca="false">IF(D864="","",IFERROR(INDEX(Товары!$C$2:$C$200,MATCH(D864,Товары!$A$2:$A$200,0)),0))</f>
        <v/>
      </c>
      <c r="H864" s="8" t="str">
        <f aca="false">IF(D864="","",F864*G864)</f>
        <v/>
      </c>
      <c r="I864" s="8" t="str">
        <f aca="false">IF(D864="","",F864*IFERROR(INDEX(Товары!$D$2:$D$200,MATCH(D864,Товары!$A$2:$A$200,0)),0))</f>
        <v/>
      </c>
      <c r="J864" s="8" t="str">
        <f aca="false">IF(D864="","",H864-I864)</f>
        <v/>
      </c>
      <c r="K864" s="7" t="str">
        <f aca="false">IF(A864="","",MONTH(A864))</f>
        <v/>
      </c>
      <c r="L864" s="7" t="str">
        <f aca="false">IF(A864="","",YEAR(A864))</f>
        <v/>
      </c>
      <c r="M864" s="9" t="str">
        <f aca="false">IF(B864="","",B864&amp;"|"&amp;COUNTIF(B$2:B864,B864))</f>
        <v/>
      </c>
    </row>
    <row r="865" customFormat="false" ht="15" hidden="false" customHeight="false" outlineLevel="0" collapsed="false">
      <c r="A865" s="5"/>
      <c r="B865" s="6"/>
      <c r="C865" s="6"/>
      <c r="D865" s="6"/>
      <c r="E865" s="7" t="str">
        <f aca="false">IF(D865="","",IFERROR(INDEX(Товары!$B$2:$B$200,MATCH(D865,Товары!$A$2:$A$200,0)),"нет в справочнике"))</f>
        <v/>
      </c>
      <c r="F865" s="6"/>
      <c r="G865" s="8" t="str">
        <f aca="false">IF(D865="","",IFERROR(INDEX(Товары!$C$2:$C$200,MATCH(D865,Товары!$A$2:$A$200,0)),0))</f>
        <v/>
      </c>
      <c r="H865" s="8" t="str">
        <f aca="false">IF(D865="","",F865*G865)</f>
        <v/>
      </c>
      <c r="I865" s="8" t="str">
        <f aca="false">IF(D865="","",F865*IFERROR(INDEX(Товары!$D$2:$D$200,MATCH(D865,Товары!$A$2:$A$200,0)),0))</f>
        <v/>
      </c>
      <c r="J865" s="8" t="str">
        <f aca="false">IF(D865="","",H865-I865)</f>
        <v/>
      </c>
      <c r="K865" s="7" t="str">
        <f aca="false">IF(A865="","",MONTH(A865))</f>
        <v/>
      </c>
      <c r="L865" s="7" t="str">
        <f aca="false">IF(A865="","",YEAR(A865))</f>
        <v/>
      </c>
      <c r="M865" s="9" t="str">
        <f aca="false">IF(B865="","",B865&amp;"|"&amp;COUNTIF(B$2:B865,B865))</f>
        <v/>
      </c>
    </row>
    <row r="866" customFormat="false" ht="15" hidden="false" customHeight="false" outlineLevel="0" collapsed="false">
      <c r="A866" s="5"/>
      <c r="B866" s="6"/>
      <c r="C866" s="6"/>
      <c r="D866" s="6"/>
      <c r="E866" s="7" t="str">
        <f aca="false">IF(D866="","",IFERROR(INDEX(Товары!$B$2:$B$200,MATCH(D866,Товары!$A$2:$A$200,0)),"нет в справочнике"))</f>
        <v/>
      </c>
      <c r="F866" s="6"/>
      <c r="G866" s="8" t="str">
        <f aca="false">IF(D866="","",IFERROR(INDEX(Товары!$C$2:$C$200,MATCH(D866,Товары!$A$2:$A$200,0)),0))</f>
        <v/>
      </c>
      <c r="H866" s="8" t="str">
        <f aca="false">IF(D866="","",F866*G866)</f>
        <v/>
      </c>
      <c r="I866" s="8" t="str">
        <f aca="false">IF(D866="","",F866*IFERROR(INDEX(Товары!$D$2:$D$200,MATCH(D866,Товары!$A$2:$A$200,0)),0))</f>
        <v/>
      </c>
      <c r="J866" s="8" t="str">
        <f aca="false">IF(D866="","",H866-I866)</f>
        <v/>
      </c>
      <c r="K866" s="7" t="str">
        <f aca="false">IF(A866="","",MONTH(A866))</f>
        <v/>
      </c>
      <c r="L866" s="7" t="str">
        <f aca="false">IF(A866="","",YEAR(A866))</f>
        <v/>
      </c>
      <c r="M866" s="9" t="str">
        <f aca="false">IF(B866="","",B866&amp;"|"&amp;COUNTIF(B$2:B866,B866))</f>
        <v/>
      </c>
    </row>
    <row r="867" customFormat="false" ht="15" hidden="false" customHeight="false" outlineLevel="0" collapsed="false">
      <c r="A867" s="5"/>
      <c r="B867" s="6"/>
      <c r="C867" s="6"/>
      <c r="D867" s="6"/>
      <c r="E867" s="7" t="str">
        <f aca="false">IF(D867="","",IFERROR(INDEX(Товары!$B$2:$B$200,MATCH(D867,Товары!$A$2:$A$200,0)),"нет в справочнике"))</f>
        <v/>
      </c>
      <c r="F867" s="6"/>
      <c r="G867" s="8" t="str">
        <f aca="false">IF(D867="","",IFERROR(INDEX(Товары!$C$2:$C$200,MATCH(D867,Товары!$A$2:$A$200,0)),0))</f>
        <v/>
      </c>
      <c r="H867" s="8" t="str">
        <f aca="false">IF(D867="","",F867*G867)</f>
        <v/>
      </c>
      <c r="I867" s="8" t="str">
        <f aca="false">IF(D867="","",F867*IFERROR(INDEX(Товары!$D$2:$D$200,MATCH(D867,Товары!$A$2:$A$200,0)),0))</f>
        <v/>
      </c>
      <c r="J867" s="8" t="str">
        <f aca="false">IF(D867="","",H867-I867)</f>
        <v/>
      </c>
      <c r="K867" s="7" t="str">
        <f aca="false">IF(A867="","",MONTH(A867))</f>
        <v/>
      </c>
      <c r="L867" s="7" t="str">
        <f aca="false">IF(A867="","",YEAR(A867))</f>
        <v/>
      </c>
      <c r="M867" s="9" t="str">
        <f aca="false">IF(B867="","",B867&amp;"|"&amp;COUNTIF(B$2:B867,B867))</f>
        <v/>
      </c>
    </row>
    <row r="868" customFormat="false" ht="15" hidden="false" customHeight="false" outlineLevel="0" collapsed="false">
      <c r="A868" s="5"/>
      <c r="B868" s="6"/>
      <c r="C868" s="6"/>
      <c r="D868" s="6"/>
      <c r="E868" s="7" t="str">
        <f aca="false">IF(D868="","",IFERROR(INDEX(Товары!$B$2:$B$200,MATCH(D868,Товары!$A$2:$A$200,0)),"нет в справочнике"))</f>
        <v/>
      </c>
      <c r="F868" s="6"/>
      <c r="G868" s="8" t="str">
        <f aca="false">IF(D868="","",IFERROR(INDEX(Товары!$C$2:$C$200,MATCH(D868,Товары!$A$2:$A$200,0)),0))</f>
        <v/>
      </c>
      <c r="H868" s="8" t="str">
        <f aca="false">IF(D868="","",F868*G868)</f>
        <v/>
      </c>
      <c r="I868" s="8" t="str">
        <f aca="false">IF(D868="","",F868*IFERROR(INDEX(Товары!$D$2:$D$200,MATCH(D868,Товары!$A$2:$A$200,0)),0))</f>
        <v/>
      </c>
      <c r="J868" s="8" t="str">
        <f aca="false">IF(D868="","",H868-I868)</f>
        <v/>
      </c>
      <c r="K868" s="7" t="str">
        <f aca="false">IF(A868="","",MONTH(A868))</f>
        <v/>
      </c>
      <c r="L868" s="7" t="str">
        <f aca="false">IF(A868="","",YEAR(A868))</f>
        <v/>
      </c>
      <c r="M868" s="9" t="str">
        <f aca="false">IF(B868="","",B868&amp;"|"&amp;COUNTIF(B$2:B868,B868))</f>
        <v/>
      </c>
    </row>
    <row r="869" customFormat="false" ht="15" hidden="false" customHeight="false" outlineLevel="0" collapsed="false">
      <c r="A869" s="5"/>
      <c r="B869" s="6"/>
      <c r="C869" s="6"/>
      <c r="D869" s="6"/>
      <c r="E869" s="7" t="str">
        <f aca="false">IF(D869="","",IFERROR(INDEX(Товары!$B$2:$B$200,MATCH(D869,Товары!$A$2:$A$200,0)),"нет в справочнике"))</f>
        <v/>
      </c>
      <c r="F869" s="6"/>
      <c r="G869" s="8" t="str">
        <f aca="false">IF(D869="","",IFERROR(INDEX(Товары!$C$2:$C$200,MATCH(D869,Товары!$A$2:$A$200,0)),0))</f>
        <v/>
      </c>
      <c r="H869" s="8" t="str">
        <f aca="false">IF(D869="","",F869*G869)</f>
        <v/>
      </c>
      <c r="I869" s="8" t="str">
        <f aca="false">IF(D869="","",F869*IFERROR(INDEX(Товары!$D$2:$D$200,MATCH(D869,Товары!$A$2:$A$200,0)),0))</f>
        <v/>
      </c>
      <c r="J869" s="8" t="str">
        <f aca="false">IF(D869="","",H869-I869)</f>
        <v/>
      </c>
      <c r="K869" s="7" t="str">
        <f aca="false">IF(A869="","",MONTH(A869))</f>
        <v/>
      </c>
      <c r="L869" s="7" t="str">
        <f aca="false">IF(A869="","",YEAR(A869))</f>
        <v/>
      </c>
      <c r="M869" s="9" t="str">
        <f aca="false">IF(B869="","",B869&amp;"|"&amp;COUNTIF(B$2:B869,B869))</f>
        <v/>
      </c>
    </row>
    <row r="870" customFormat="false" ht="15" hidden="false" customHeight="false" outlineLevel="0" collapsed="false">
      <c r="A870" s="5"/>
      <c r="B870" s="6"/>
      <c r="C870" s="6"/>
      <c r="D870" s="6"/>
      <c r="E870" s="7" t="str">
        <f aca="false">IF(D870="","",IFERROR(INDEX(Товары!$B$2:$B$200,MATCH(D870,Товары!$A$2:$A$200,0)),"нет в справочнике"))</f>
        <v/>
      </c>
      <c r="F870" s="6"/>
      <c r="G870" s="8" t="str">
        <f aca="false">IF(D870="","",IFERROR(INDEX(Товары!$C$2:$C$200,MATCH(D870,Товары!$A$2:$A$200,0)),0))</f>
        <v/>
      </c>
      <c r="H870" s="8" t="str">
        <f aca="false">IF(D870="","",F870*G870)</f>
        <v/>
      </c>
      <c r="I870" s="8" t="str">
        <f aca="false">IF(D870="","",F870*IFERROR(INDEX(Товары!$D$2:$D$200,MATCH(D870,Товары!$A$2:$A$200,0)),0))</f>
        <v/>
      </c>
      <c r="J870" s="8" t="str">
        <f aca="false">IF(D870="","",H870-I870)</f>
        <v/>
      </c>
      <c r="K870" s="7" t="str">
        <f aca="false">IF(A870="","",MONTH(A870))</f>
        <v/>
      </c>
      <c r="L870" s="7" t="str">
        <f aca="false">IF(A870="","",YEAR(A870))</f>
        <v/>
      </c>
      <c r="M870" s="9" t="str">
        <f aca="false">IF(B870="","",B870&amp;"|"&amp;COUNTIF(B$2:B870,B870))</f>
        <v/>
      </c>
    </row>
    <row r="871" customFormat="false" ht="15" hidden="false" customHeight="false" outlineLevel="0" collapsed="false">
      <c r="A871" s="5"/>
      <c r="B871" s="6"/>
      <c r="C871" s="6"/>
      <c r="D871" s="6"/>
      <c r="E871" s="7" t="str">
        <f aca="false">IF(D871="","",IFERROR(INDEX(Товары!$B$2:$B$200,MATCH(D871,Товары!$A$2:$A$200,0)),"нет в справочнике"))</f>
        <v/>
      </c>
      <c r="F871" s="6"/>
      <c r="G871" s="8" t="str">
        <f aca="false">IF(D871="","",IFERROR(INDEX(Товары!$C$2:$C$200,MATCH(D871,Товары!$A$2:$A$200,0)),0))</f>
        <v/>
      </c>
      <c r="H871" s="8" t="str">
        <f aca="false">IF(D871="","",F871*G871)</f>
        <v/>
      </c>
      <c r="I871" s="8" t="str">
        <f aca="false">IF(D871="","",F871*IFERROR(INDEX(Товары!$D$2:$D$200,MATCH(D871,Товары!$A$2:$A$200,0)),0))</f>
        <v/>
      </c>
      <c r="J871" s="8" t="str">
        <f aca="false">IF(D871="","",H871-I871)</f>
        <v/>
      </c>
      <c r="K871" s="7" t="str">
        <f aca="false">IF(A871="","",MONTH(A871))</f>
        <v/>
      </c>
      <c r="L871" s="7" t="str">
        <f aca="false">IF(A871="","",YEAR(A871))</f>
        <v/>
      </c>
      <c r="M871" s="9" t="str">
        <f aca="false">IF(B871="","",B871&amp;"|"&amp;COUNTIF(B$2:B871,B871))</f>
        <v/>
      </c>
    </row>
    <row r="872" customFormat="false" ht="15" hidden="false" customHeight="false" outlineLevel="0" collapsed="false">
      <c r="A872" s="5"/>
      <c r="B872" s="6"/>
      <c r="C872" s="6"/>
      <c r="D872" s="6"/>
      <c r="E872" s="7" t="str">
        <f aca="false">IF(D872="","",IFERROR(INDEX(Товары!$B$2:$B$200,MATCH(D872,Товары!$A$2:$A$200,0)),"нет в справочнике"))</f>
        <v/>
      </c>
      <c r="F872" s="6"/>
      <c r="G872" s="8" t="str">
        <f aca="false">IF(D872="","",IFERROR(INDEX(Товары!$C$2:$C$200,MATCH(D872,Товары!$A$2:$A$200,0)),0))</f>
        <v/>
      </c>
      <c r="H872" s="8" t="str">
        <f aca="false">IF(D872="","",F872*G872)</f>
        <v/>
      </c>
      <c r="I872" s="8" t="str">
        <f aca="false">IF(D872="","",F872*IFERROR(INDEX(Товары!$D$2:$D$200,MATCH(D872,Товары!$A$2:$A$200,0)),0))</f>
        <v/>
      </c>
      <c r="J872" s="8" t="str">
        <f aca="false">IF(D872="","",H872-I872)</f>
        <v/>
      </c>
      <c r="K872" s="7" t="str">
        <f aca="false">IF(A872="","",MONTH(A872))</f>
        <v/>
      </c>
      <c r="L872" s="7" t="str">
        <f aca="false">IF(A872="","",YEAR(A872))</f>
        <v/>
      </c>
      <c r="M872" s="9" t="str">
        <f aca="false">IF(B872="","",B872&amp;"|"&amp;COUNTIF(B$2:B872,B872))</f>
        <v/>
      </c>
    </row>
    <row r="873" customFormat="false" ht="15" hidden="false" customHeight="false" outlineLevel="0" collapsed="false">
      <c r="A873" s="5"/>
      <c r="B873" s="6"/>
      <c r="C873" s="6"/>
      <c r="D873" s="6"/>
      <c r="E873" s="7" t="str">
        <f aca="false">IF(D873="","",IFERROR(INDEX(Товары!$B$2:$B$200,MATCH(D873,Товары!$A$2:$A$200,0)),"нет в справочнике"))</f>
        <v/>
      </c>
      <c r="F873" s="6"/>
      <c r="G873" s="8" t="str">
        <f aca="false">IF(D873="","",IFERROR(INDEX(Товары!$C$2:$C$200,MATCH(D873,Товары!$A$2:$A$200,0)),0))</f>
        <v/>
      </c>
      <c r="H873" s="8" t="str">
        <f aca="false">IF(D873="","",F873*G873)</f>
        <v/>
      </c>
      <c r="I873" s="8" t="str">
        <f aca="false">IF(D873="","",F873*IFERROR(INDEX(Товары!$D$2:$D$200,MATCH(D873,Товары!$A$2:$A$200,0)),0))</f>
        <v/>
      </c>
      <c r="J873" s="8" t="str">
        <f aca="false">IF(D873="","",H873-I873)</f>
        <v/>
      </c>
      <c r="K873" s="7" t="str">
        <f aca="false">IF(A873="","",MONTH(A873))</f>
        <v/>
      </c>
      <c r="L873" s="7" t="str">
        <f aca="false">IF(A873="","",YEAR(A873))</f>
        <v/>
      </c>
      <c r="M873" s="9" t="str">
        <f aca="false">IF(B873="","",B873&amp;"|"&amp;COUNTIF(B$2:B873,B873))</f>
        <v/>
      </c>
    </row>
    <row r="874" customFormat="false" ht="15" hidden="false" customHeight="false" outlineLevel="0" collapsed="false">
      <c r="A874" s="5"/>
      <c r="B874" s="6"/>
      <c r="C874" s="6"/>
      <c r="D874" s="6"/>
      <c r="E874" s="7" t="str">
        <f aca="false">IF(D874="","",IFERROR(INDEX(Товары!$B$2:$B$200,MATCH(D874,Товары!$A$2:$A$200,0)),"нет в справочнике"))</f>
        <v/>
      </c>
      <c r="F874" s="6"/>
      <c r="G874" s="8" t="str">
        <f aca="false">IF(D874="","",IFERROR(INDEX(Товары!$C$2:$C$200,MATCH(D874,Товары!$A$2:$A$200,0)),0))</f>
        <v/>
      </c>
      <c r="H874" s="8" t="str">
        <f aca="false">IF(D874="","",F874*G874)</f>
        <v/>
      </c>
      <c r="I874" s="8" t="str">
        <f aca="false">IF(D874="","",F874*IFERROR(INDEX(Товары!$D$2:$D$200,MATCH(D874,Товары!$A$2:$A$200,0)),0))</f>
        <v/>
      </c>
      <c r="J874" s="8" t="str">
        <f aca="false">IF(D874="","",H874-I874)</f>
        <v/>
      </c>
      <c r="K874" s="7" t="str">
        <f aca="false">IF(A874="","",MONTH(A874))</f>
        <v/>
      </c>
      <c r="L874" s="7" t="str">
        <f aca="false">IF(A874="","",YEAR(A874))</f>
        <v/>
      </c>
      <c r="M874" s="9" t="str">
        <f aca="false">IF(B874="","",B874&amp;"|"&amp;COUNTIF(B$2:B874,B874))</f>
        <v/>
      </c>
    </row>
    <row r="875" customFormat="false" ht="15" hidden="false" customHeight="false" outlineLevel="0" collapsed="false">
      <c r="A875" s="5"/>
      <c r="B875" s="6"/>
      <c r="C875" s="6"/>
      <c r="D875" s="6"/>
      <c r="E875" s="7" t="str">
        <f aca="false">IF(D875="","",IFERROR(INDEX(Товары!$B$2:$B$200,MATCH(D875,Товары!$A$2:$A$200,0)),"нет в справочнике"))</f>
        <v/>
      </c>
      <c r="F875" s="6"/>
      <c r="G875" s="8" t="str">
        <f aca="false">IF(D875="","",IFERROR(INDEX(Товары!$C$2:$C$200,MATCH(D875,Товары!$A$2:$A$200,0)),0))</f>
        <v/>
      </c>
      <c r="H875" s="8" t="str">
        <f aca="false">IF(D875="","",F875*G875)</f>
        <v/>
      </c>
      <c r="I875" s="8" t="str">
        <f aca="false">IF(D875="","",F875*IFERROR(INDEX(Товары!$D$2:$D$200,MATCH(D875,Товары!$A$2:$A$200,0)),0))</f>
        <v/>
      </c>
      <c r="J875" s="8" t="str">
        <f aca="false">IF(D875="","",H875-I875)</f>
        <v/>
      </c>
      <c r="K875" s="7" t="str">
        <f aca="false">IF(A875="","",MONTH(A875))</f>
        <v/>
      </c>
      <c r="L875" s="7" t="str">
        <f aca="false">IF(A875="","",YEAR(A875))</f>
        <v/>
      </c>
      <c r="M875" s="9" t="str">
        <f aca="false">IF(B875="","",B875&amp;"|"&amp;COUNTIF(B$2:B875,B875))</f>
        <v/>
      </c>
    </row>
    <row r="876" customFormat="false" ht="15" hidden="false" customHeight="false" outlineLevel="0" collapsed="false">
      <c r="A876" s="5"/>
      <c r="B876" s="6"/>
      <c r="C876" s="6"/>
      <c r="D876" s="6"/>
      <c r="E876" s="7" t="str">
        <f aca="false">IF(D876="","",IFERROR(INDEX(Товары!$B$2:$B$200,MATCH(D876,Товары!$A$2:$A$200,0)),"нет в справочнике"))</f>
        <v/>
      </c>
      <c r="F876" s="6"/>
      <c r="G876" s="8" t="str">
        <f aca="false">IF(D876="","",IFERROR(INDEX(Товары!$C$2:$C$200,MATCH(D876,Товары!$A$2:$A$200,0)),0))</f>
        <v/>
      </c>
      <c r="H876" s="8" t="str">
        <f aca="false">IF(D876="","",F876*G876)</f>
        <v/>
      </c>
      <c r="I876" s="8" t="str">
        <f aca="false">IF(D876="","",F876*IFERROR(INDEX(Товары!$D$2:$D$200,MATCH(D876,Товары!$A$2:$A$200,0)),0))</f>
        <v/>
      </c>
      <c r="J876" s="8" t="str">
        <f aca="false">IF(D876="","",H876-I876)</f>
        <v/>
      </c>
      <c r="K876" s="7" t="str">
        <f aca="false">IF(A876="","",MONTH(A876))</f>
        <v/>
      </c>
      <c r="L876" s="7" t="str">
        <f aca="false">IF(A876="","",YEAR(A876))</f>
        <v/>
      </c>
      <c r="M876" s="9" t="str">
        <f aca="false">IF(B876="","",B876&amp;"|"&amp;COUNTIF(B$2:B876,B876))</f>
        <v/>
      </c>
    </row>
    <row r="877" customFormat="false" ht="15" hidden="false" customHeight="false" outlineLevel="0" collapsed="false">
      <c r="A877" s="5"/>
      <c r="B877" s="6"/>
      <c r="C877" s="6"/>
      <c r="D877" s="6"/>
      <c r="E877" s="7" t="str">
        <f aca="false">IF(D877="","",IFERROR(INDEX(Товары!$B$2:$B$200,MATCH(D877,Товары!$A$2:$A$200,0)),"нет в справочнике"))</f>
        <v/>
      </c>
      <c r="F877" s="6"/>
      <c r="G877" s="8" t="str">
        <f aca="false">IF(D877="","",IFERROR(INDEX(Товары!$C$2:$C$200,MATCH(D877,Товары!$A$2:$A$200,0)),0))</f>
        <v/>
      </c>
      <c r="H877" s="8" t="str">
        <f aca="false">IF(D877="","",F877*G877)</f>
        <v/>
      </c>
      <c r="I877" s="8" t="str">
        <f aca="false">IF(D877="","",F877*IFERROR(INDEX(Товары!$D$2:$D$200,MATCH(D877,Товары!$A$2:$A$200,0)),0))</f>
        <v/>
      </c>
      <c r="J877" s="8" t="str">
        <f aca="false">IF(D877="","",H877-I877)</f>
        <v/>
      </c>
      <c r="K877" s="7" t="str">
        <f aca="false">IF(A877="","",MONTH(A877))</f>
        <v/>
      </c>
      <c r="L877" s="7" t="str">
        <f aca="false">IF(A877="","",YEAR(A877))</f>
        <v/>
      </c>
      <c r="M877" s="9" t="str">
        <f aca="false">IF(B877="","",B877&amp;"|"&amp;COUNTIF(B$2:B877,B877))</f>
        <v/>
      </c>
    </row>
    <row r="878" customFormat="false" ht="15" hidden="false" customHeight="false" outlineLevel="0" collapsed="false">
      <c r="A878" s="5"/>
      <c r="B878" s="6"/>
      <c r="C878" s="6"/>
      <c r="D878" s="6"/>
      <c r="E878" s="7" t="str">
        <f aca="false">IF(D878="","",IFERROR(INDEX(Товары!$B$2:$B$200,MATCH(D878,Товары!$A$2:$A$200,0)),"нет в справочнике"))</f>
        <v/>
      </c>
      <c r="F878" s="6"/>
      <c r="G878" s="8" t="str">
        <f aca="false">IF(D878="","",IFERROR(INDEX(Товары!$C$2:$C$200,MATCH(D878,Товары!$A$2:$A$200,0)),0))</f>
        <v/>
      </c>
      <c r="H878" s="8" t="str">
        <f aca="false">IF(D878="","",F878*G878)</f>
        <v/>
      </c>
      <c r="I878" s="8" t="str">
        <f aca="false">IF(D878="","",F878*IFERROR(INDEX(Товары!$D$2:$D$200,MATCH(D878,Товары!$A$2:$A$200,0)),0))</f>
        <v/>
      </c>
      <c r="J878" s="8" t="str">
        <f aca="false">IF(D878="","",H878-I878)</f>
        <v/>
      </c>
      <c r="K878" s="7" t="str">
        <f aca="false">IF(A878="","",MONTH(A878))</f>
        <v/>
      </c>
      <c r="L878" s="7" t="str">
        <f aca="false">IF(A878="","",YEAR(A878))</f>
        <v/>
      </c>
      <c r="M878" s="9" t="str">
        <f aca="false">IF(B878="","",B878&amp;"|"&amp;COUNTIF(B$2:B878,B878))</f>
        <v/>
      </c>
    </row>
    <row r="879" customFormat="false" ht="15" hidden="false" customHeight="false" outlineLevel="0" collapsed="false">
      <c r="A879" s="5"/>
      <c r="B879" s="6"/>
      <c r="C879" s="6"/>
      <c r="D879" s="6"/>
      <c r="E879" s="7" t="str">
        <f aca="false">IF(D879="","",IFERROR(INDEX(Товары!$B$2:$B$200,MATCH(D879,Товары!$A$2:$A$200,0)),"нет в справочнике"))</f>
        <v/>
      </c>
      <c r="F879" s="6"/>
      <c r="G879" s="8" t="str">
        <f aca="false">IF(D879="","",IFERROR(INDEX(Товары!$C$2:$C$200,MATCH(D879,Товары!$A$2:$A$200,0)),0))</f>
        <v/>
      </c>
      <c r="H879" s="8" t="str">
        <f aca="false">IF(D879="","",F879*G879)</f>
        <v/>
      </c>
      <c r="I879" s="8" t="str">
        <f aca="false">IF(D879="","",F879*IFERROR(INDEX(Товары!$D$2:$D$200,MATCH(D879,Товары!$A$2:$A$200,0)),0))</f>
        <v/>
      </c>
      <c r="J879" s="8" t="str">
        <f aca="false">IF(D879="","",H879-I879)</f>
        <v/>
      </c>
      <c r="K879" s="7" t="str">
        <f aca="false">IF(A879="","",MONTH(A879))</f>
        <v/>
      </c>
      <c r="L879" s="7" t="str">
        <f aca="false">IF(A879="","",YEAR(A879))</f>
        <v/>
      </c>
      <c r="M879" s="9" t="str">
        <f aca="false">IF(B879="","",B879&amp;"|"&amp;COUNTIF(B$2:B879,B879))</f>
        <v/>
      </c>
    </row>
    <row r="880" customFormat="false" ht="15" hidden="false" customHeight="false" outlineLevel="0" collapsed="false">
      <c r="A880" s="5"/>
      <c r="B880" s="6"/>
      <c r="C880" s="6"/>
      <c r="D880" s="6"/>
      <c r="E880" s="7" t="str">
        <f aca="false">IF(D880="","",IFERROR(INDEX(Товары!$B$2:$B$200,MATCH(D880,Товары!$A$2:$A$200,0)),"нет в справочнике"))</f>
        <v/>
      </c>
      <c r="F880" s="6"/>
      <c r="G880" s="8" t="str">
        <f aca="false">IF(D880="","",IFERROR(INDEX(Товары!$C$2:$C$200,MATCH(D880,Товары!$A$2:$A$200,0)),0))</f>
        <v/>
      </c>
      <c r="H880" s="8" t="str">
        <f aca="false">IF(D880="","",F880*G880)</f>
        <v/>
      </c>
      <c r="I880" s="8" t="str">
        <f aca="false">IF(D880="","",F880*IFERROR(INDEX(Товары!$D$2:$D$200,MATCH(D880,Товары!$A$2:$A$200,0)),0))</f>
        <v/>
      </c>
      <c r="J880" s="8" t="str">
        <f aca="false">IF(D880="","",H880-I880)</f>
        <v/>
      </c>
      <c r="K880" s="7" t="str">
        <f aca="false">IF(A880="","",MONTH(A880))</f>
        <v/>
      </c>
      <c r="L880" s="7" t="str">
        <f aca="false">IF(A880="","",YEAR(A880))</f>
        <v/>
      </c>
      <c r="M880" s="9" t="str">
        <f aca="false">IF(B880="","",B880&amp;"|"&amp;COUNTIF(B$2:B880,B880))</f>
        <v/>
      </c>
    </row>
    <row r="881" customFormat="false" ht="15" hidden="false" customHeight="false" outlineLevel="0" collapsed="false">
      <c r="A881" s="5"/>
      <c r="B881" s="6"/>
      <c r="C881" s="6"/>
      <c r="D881" s="6"/>
      <c r="E881" s="7" t="str">
        <f aca="false">IF(D881="","",IFERROR(INDEX(Товары!$B$2:$B$200,MATCH(D881,Товары!$A$2:$A$200,0)),"нет в справочнике"))</f>
        <v/>
      </c>
      <c r="F881" s="6"/>
      <c r="G881" s="8" t="str">
        <f aca="false">IF(D881="","",IFERROR(INDEX(Товары!$C$2:$C$200,MATCH(D881,Товары!$A$2:$A$200,0)),0))</f>
        <v/>
      </c>
      <c r="H881" s="8" t="str">
        <f aca="false">IF(D881="","",F881*G881)</f>
        <v/>
      </c>
      <c r="I881" s="8" t="str">
        <f aca="false">IF(D881="","",F881*IFERROR(INDEX(Товары!$D$2:$D$200,MATCH(D881,Товары!$A$2:$A$200,0)),0))</f>
        <v/>
      </c>
      <c r="J881" s="8" t="str">
        <f aca="false">IF(D881="","",H881-I881)</f>
        <v/>
      </c>
      <c r="K881" s="7" t="str">
        <f aca="false">IF(A881="","",MONTH(A881))</f>
        <v/>
      </c>
      <c r="L881" s="7" t="str">
        <f aca="false">IF(A881="","",YEAR(A881))</f>
        <v/>
      </c>
      <c r="M881" s="9" t="str">
        <f aca="false">IF(B881="","",B881&amp;"|"&amp;COUNTIF(B$2:B881,B881))</f>
        <v/>
      </c>
    </row>
    <row r="882" customFormat="false" ht="15" hidden="false" customHeight="false" outlineLevel="0" collapsed="false">
      <c r="A882" s="5"/>
      <c r="B882" s="6"/>
      <c r="C882" s="6"/>
      <c r="D882" s="6"/>
      <c r="E882" s="7" t="str">
        <f aca="false">IF(D882="","",IFERROR(INDEX(Товары!$B$2:$B$200,MATCH(D882,Товары!$A$2:$A$200,0)),"нет в справочнике"))</f>
        <v/>
      </c>
      <c r="F882" s="6"/>
      <c r="G882" s="8" t="str">
        <f aca="false">IF(D882="","",IFERROR(INDEX(Товары!$C$2:$C$200,MATCH(D882,Товары!$A$2:$A$200,0)),0))</f>
        <v/>
      </c>
      <c r="H882" s="8" t="str">
        <f aca="false">IF(D882="","",F882*G882)</f>
        <v/>
      </c>
      <c r="I882" s="8" t="str">
        <f aca="false">IF(D882="","",F882*IFERROR(INDEX(Товары!$D$2:$D$200,MATCH(D882,Товары!$A$2:$A$200,0)),0))</f>
        <v/>
      </c>
      <c r="J882" s="8" t="str">
        <f aca="false">IF(D882="","",H882-I882)</f>
        <v/>
      </c>
      <c r="K882" s="7" t="str">
        <f aca="false">IF(A882="","",MONTH(A882))</f>
        <v/>
      </c>
      <c r="L882" s="7" t="str">
        <f aca="false">IF(A882="","",YEAR(A882))</f>
        <v/>
      </c>
      <c r="M882" s="9" t="str">
        <f aca="false">IF(B882="","",B882&amp;"|"&amp;COUNTIF(B$2:B882,B882))</f>
        <v/>
      </c>
    </row>
    <row r="883" customFormat="false" ht="15" hidden="false" customHeight="false" outlineLevel="0" collapsed="false">
      <c r="A883" s="5"/>
      <c r="B883" s="6"/>
      <c r="C883" s="6"/>
      <c r="D883" s="6"/>
      <c r="E883" s="7" t="str">
        <f aca="false">IF(D883="","",IFERROR(INDEX(Товары!$B$2:$B$200,MATCH(D883,Товары!$A$2:$A$200,0)),"нет в справочнике"))</f>
        <v/>
      </c>
      <c r="F883" s="6"/>
      <c r="G883" s="8" t="str">
        <f aca="false">IF(D883="","",IFERROR(INDEX(Товары!$C$2:$C$200,MATCH(D883,Товары!$A$2:$A$200,0)),0))</f>
        <v/>
      </c>
      <c r="H883" s="8" t="str">
        <f aca="false">IF(D883="","",F883*G883)</f>
        <v/>
      </c>
      <c r="I883" s="8" t="str">
        <f aca="false">IF(D883="","",F883*IFERROR(INDEX(Товары!$D$2:$D$200,MATCH(D883,Товары!$A$2:$A$200,0)),0))</f>
        <v/>
      </c>
      <c r="J883" s="8" t="str">
        <f aca="false">IF(D883="","",H883-I883)</f>
        <v/>
      </c>
      <c r="K883" s="7" t="str">
        <f aca="false">IF(A883="","",MONTH(A883))</f>
        <v/>
      </c>
      <c r="L883" s="7" t="str">
        <f aca="false">IF(A883="","",YEAR(A883))</f>
        <v/>
      </c>
      <c r="M883" s="9" t="str">
        <f aca="false">IF(B883="","",B883&amp;"|"&amp;COUNTIF(B$2:B883,B883))</f>
        <v/>
      </c>
    </row>
    <row r="884" customFormat="false" ht="15" hidden="false" customHeight="false" outlineLevel="0" collapsed="false">
      <c r="A884" s="5"/>
      <c r="B884" s="6"/>
      <c r="C884" s="6"/>
      <c r="D884" s="6"/>
      <c r="E884" s="7" t="str">
        <f aca="false">IF(D884="","",IFERROR(INDEX(Товары!$B$2:$B$200,MATCH(D884,Товары!$A$2:$A$200,0)),"нет в справочнике"))</f>
        <v/>
      </c>
      <c r="F884" s="6"/>
      <c r="G884" s="8" t="str">
        <f aca="false">IF(D884="","",IFERROR(INDEX(Товары!$C$2:$C$200,MATCH(D884,Товары!$A$2:$A$200,0)),0))</f>
        <v/>
      </c>
      <c r="H884" s="8" t="str">
        <f aca="false">IF(D884="","",F884*G884)</f>
        <v/>
      </c>
      <c r="I884" s="8" t="str">
        <f aca="false">IF(D884="","",F884*IFERROR(INDEX(Товары!$D$2:$D$200,MATCH(D884,Товары!$A$2:$A$200,0)),0))</f>
        <v/>
      </c>
      <c r="J884" s="8" t="str">
        <f aca="false">IF(D884="","",H884-I884)</f>
        <v/>
      </c>
      <c r="K884" s="7" t="str">
        <f aca="false">IF(A884="","",MONTH(A884))</f>
        <v/>
      </c>
      <c r="L884" s="7" t="str">
        <f aca="false">IF(A884="","",YEAR(A884))</f>
        <v/>
      </c>
      <c r="M884" s="9" t="str">
        <f aca="false">IF(B884="","",B884&amp;"|"&amp;COUNTIF(B$2:B884,B884))</f>
        <v/>
      </c>
    </row>
    <row r="885" customFormat="false" ht="15" hidden="false" customHeight="false" outlineLevel="0" collapsed="false">
      <c r="A885" s="5"/>
      <c r="B885" s="6"/>
      <c r="C885" s="6"/>
      <c r="D885" s="6"/>
      <c r="E885" s="7" t="str">
        <f aca="false">IF(D885="","",IFERROR(INDEX(Товары!$B$2:$B$200,MATCH(D885,Товары!$A$2:$A$200,0)),"нет в справочнике"))</f>
        <v/>
      </c>
      <c r="F885" s="6"/>
      <c r="G885" s="8" t="str">
        <f aca="false">IF(D885="","",IFERROR(INDEX(Товары!$C$2:$C$200,MATCH(D885,Товары!$A$2:$A$200,0)),0))</f>
        <v/>
      </c>
      <c r="H885" s="8" t="str">
        <f aca="false">IF(D885="","",F885*G885)</f>
        <v/>
      </c>
      <c r="I885" s="8" t="str">
        <f aca="false">IF(D885="","",F885*IFERROR(INDEX(Товары!$D$2:$D$200,MATCH(D885,Товары!$A$2:$A$200,0)),0))</f>
        <v/>
      </c>
      <c r="J885" s="8" t="str">
        <f aca="false">IF(D885="","",H885-I885)</f>
        <v/>
      </c>
      <c r="K885" s="7" t="str">
        <f aca="false">IF(A885="","",MONTH(A885))</f>
        <v/>
      </c>
      <c r="L885" s="7" t="str">
        <f aca="false">IF(A885="","",YEAR(A885))</f>
        <v/>
      </c>
      <c r="M885" s="9" t="str">
        <f aca="false">IF(B885="","",B885&amp;"|"&amp;COUNTIF(B$2:B885,B885))</f>
        <v/>
      </c>
    </row>
    <row r="886" customFormat="false" ht="15" hidden="false" customHeight="false" outlineLevel="0" collapsed="false">
      <c r="A886" s="5"/>
      <c r="B886" s="6"/>
      <c r="C886" s="6"/>
      <c r="D886" s="6"/>
      <c r="E886" s="7" t="str">
        <f aca="false">IF(D886="","",IFERROR(INDEX(Товары!$B$2:$B$200,MATCH(D886,Товары!$A$2:$A$200,0)),"нет в справочнике"))</f>
        <v/>
      </c>
      <c r="F886" s="6"/>
      <c r="G886" s="8" t="str">
        <f aca="false">IF(D886="","",IFERROR(INDEX(Товары!$C$2:$C$200,MATCH(D886,Товары!$A$2:$A$200,0)),0))</f>
        <v/>
      </c>
      <c r="H886" s="8" t="str">
        <f aca="false">IF(D886="","",F886*G886)</f>
        <v/>
      </c>
      <c r="I886" s="8" t="str">
        <f aca="false">IF(D886="","",F886*IFERROR(INDEX(Товары!$D$2:$D$200,MATCH(D886,Товары!$A$2:$A$200,0)),0))</f>
        <v/>
      </c>
      <c r="J886" s="8" t="str">
        <f aca="false">IF(D886="","",H886-I886)</f>
        <v/>
      </c>
      <c r="K886" s="7" t="str">
        <f aca="false">IF(A886="","",MONTH(A886))</f>
        <v/>
      </c>
      <c r="L886" s="7" t="str">
        <f aca="false">IF(A886="","",YEAR(A886))</f>
        <v/>
      </c>
      <c r="M886" s="9" t="str">
        <f aca="false">IF(B886="","",B886&amp;"|"&amp;COUNTIF(B$2:B886,B886))</f>
        <v/>
      </c>
    </row>
    <row r="887" customFormat="false" ht="15" hidden="false" customHeight="false" outlineLevel="0" collapsed="false">
      <c r="A887" s="5"/>
      <c r="B887" s="6"/>
      <c r="C887" s="6"/>
      <c r="D887" s="6"/>
      <c r="E887" s="7" t="str">
        <f aca="false">IF(D887="","",IFERROR(INDEX(Товары!$B$2:$B$200,MATCH(D887,Товары!$A$2:$A$200,0)),"нет в справочнике"))</f>
        <v/>
      </c>
      <c r="F887" s="6"/>
      <c r="G887" s="8" t="str">
        <f aca="false">IF(D887="","",IFERROR(INDEX(Товары!$C$2:$C$200,MATCH(D887,Товары!$A$2:$A$200,0)),0))</f>
        <v/>
      </c>
      <c r="H887" s="8" t="str">
        <f aca="false">IF(D887="","",F887*G887)</f>
        <v/>
      </c>
      <c r="I887" s="8" t="str">
        <f aca="false">IF(D887="","",F887*IFERROR(INDEX(Товары!$D$2:$D$200,MATCH(D887,Товары!$A$2:$A$200,0)),0))</f>
        <v/>
      </c>
      <c r="J887" s="8" t="str">
        <f aca="false">IF(D887="","",H887-I887)</f>
        <v/>
      </c>
      <c r="K887" s="7" t="str">
        <f aca="false">IF(A887="","",MONTH(A887))</f>
        <v/>
      </c>
      <c r="L887" s="7" t="str">
        <f aca="false">IF(A887="","",YEAR(A887))</f>
        <v/>
      </c>
      <c r="M887" s="9" t="str">
        <f aca="false">IF(B887="","",B887&amp;"|"&amp;COUNTIF(B$2:B887,B887))</f>
        <v/>
      </c>
    </row>
    <row r="888" customFormat="false" ht="15" hidden="false" customHeight="false" outlineLevel="0" collapsed="false">
      <c r="A888" s="5"/>
      <c r="B888" s="6"/>
      <c r="C888" s="6"/>
      <c r="D888" s="6"/>
      <c r="E888" s="7" t="str">
        <f aca="false">IF(D888="","",IFERROR(INDEX(Товары!$B$2:$B$200,MATCH(D888,Товары!$A$2:$A$200,0)),"нет в справочнике"))</f>
        <v/>
      </c>
      <c r="F888" s="6"/>
      <c r="G888" s="8" t="str">
        <f aca="false">IF(D888="","",IFERROR(INDEX(Товары!$C$2:$C$200,MATCH(D888,Товары!$A$2:$A$200,0)),0))</f>
        <v/>
      </c>
      <c r="H888" s="8" t="str">
        <f aca="false">IF(D888="","",F888*G888)</f>
        <v/>
      </c>
      <c r="I888" s="8" t="str">
        <f aca="false">IF(D888="","",F888*IFERROR(INDEX(Товары!$D$2:$D$200,MATCH(D888,Товары!$A$2:$A$200,0)),0))</f>
        <v/>
      </c>
      <c r="J888" s="8" t="str">
        <f aca="false">IF(D888="","",H888-I888)</f>
        <v/>
      </c>
      <c r="K888" s="7" t="str">
        <f aca="false">IF(A888="","",MONTH(A888))</f>
        <v/>
      </c>
      <c r="L888" s="7" t="str">
        <f aca="false">IF(A888="","",YEAR(A888))</f>
        <v/>
      </c>
      <c r="M888" s="9" t="str">
        <f aca="false">IF(B888="","",B888&amp;"|"&amp;COUNTIF(B$2:B888,B888))</f>
        <v/>
      </c>
    </row>
    <row r="889" customFormat="false" ht="15" hidden="false" customHeight="false" outlineLevel="0" collapsed="false">
      <c r="A889" s="5"/>
      <c r="B889" s="6"/>
      <c r="C889" s="6"/>
      <c r="D889" s="6"/>
      <c r="E889" s="7" t="str">
        <f aca="false">IF(D889="","",IFERROR(INDEX(Товары!$B$2:$B$200,MATCH(D889,Товары!$A$2:$A$200,0)),"нет в справочнике"))</f>
        <v/>
      </c>
      <c r="F889" s="6"/>
      <c r="G889" s="8" t="str">
        <f aca="false">IF(D889="","",IFERROR(INDEX(Товары!$C$2:$C$200,MATCH(D889,Товары!$A$2:$A$200,0)),0))</f>
        <v/>
      </c>
      <c r="H889" s="8" t="str">
        <f aca="false">IF(D889="","",F889*G889)</f>
        <v/>
      </c>
      <c r="I889" s="8" t="str">
        <f aca="false">IF(D889="","",F889*IFERROR(INDEX(Товары!$D$2:$D$200,MATCH(D889,Товары!$A$2:$A$200,0)),0))</f>
        <v/>
      </c>
      <c r="J889" s="8" t="str">
        <f aca="false">IF(D889="","",H889-I889)</f>
        <v/>
      </c>
      <c r="K889" s="7" t="str">
        <f aca="false">IF(A889="","",MONTH(A889))</f>
        <v/>
      </c>
      <c r="L889" s="7" t="str">
        <f aca="false">IF(A889="","",YEAR(A889))</f>
        <v/>
      </c>
      <c r="M889" s="9" t="str">
        <f aca="false">IF(B889="","",B889&amp;"|"&amp;COUNTIF(B$2:B889,B889))</f>
        <v/>
      </c>
    </row>
    <row r="890" customFormat="false" ht="15" hidden="false" customHeight="false" outlineLevel="0" collapsed="false">
      <c r="A890" s="5"/>
      <c r="B890" s="6"/>
      <c r="C890" s="6"/>
      <c r="D890" s="6"/>
      <c r="E890" s="7" t="str">
        <f aca="false">IF(D890="","",IFERROR(INDEX(Товары!$B$2:$B$200,MATCH(D890,Товары!$A$2:$A$200,0)),"нет в справочнике"))</f>
        <v/>
      </c>
      <c r="F890" s="6"/>
      <c r="G890" s="8" t="str">
        <f aca="false">IF(D890="","",IFERROR(INDEX(Товары!$C$2:$C$200,MATCH(D890,Товары!$A$2:$A$200,0)),0))</f>
        <v/>
      </c>
      <c r="H890" s="8" t="str">
        <f aca="false">IF(D890="","",F890*G890)</f>
        <v/>
      </c>
      <c r="I890" s="8" t="str">
        <f aca="false">IF(D890="","",F890*IFERROR(INDEX(Товары!$D$2:$D$200,MATCH(D890,Товары!$A$2:$A$200,0)),0))</f>
        <v/>
      </c>
      <c r="J890" s="8" t="str">
        <f aca="false">IF(D890="","",H890-I890)</f>
        <v/>
      </c>
      <c r="K890" s="7" t="str">
        <f aca="false">IF(A890="","",MONTH(A890))</f>
        <v/>
      </c>
      <c r="L890" s="7" t="str">
        <f aca="false">IF(A890="","",YEAR(A890))</f>
        <v/>
      </c>
      <c r="M890" s="9" t="str">
        <f aca="false">IF(B890="","",B890&amp;"|"&amp;COUNTIF(B$2:B890,B890))</f>
        <v/>
      </c>
    </row>
    <row r="891" customFormat="false" ht="15" hidden="false" customHeight="false" outlineLevel="0" collapsed="false">
      <c r="A891" s="5"/>
      <c r="B891" s="6"/>
      <c r="C891" s="6"/>
      <c r="D891" s="6"/>
      <c r="E891" s="7" t="str">
        <f aca="false">IF(D891="","",IFERROR(INDEX(Товары!$B$2:$B$200,MATCH(D891,Товары!$A$2:$A$200,0)),"нет в справочнике"))</f>
        <v/>
      </c>
      <c r="F891" s="6"/>
      <c r="G891" s="8" t="str">
        <f aca="false">IF(D891="","",IFERROR(INDEX(Товары!$C$2:$C$200,MATCH(D891,Товары!$A$2:$A$200,0)),0))</f>
        <v/>
      </c>
      <c r="H891" s="8" t="str">
        <f aca="false">IF(D891="","",F891*G891)</f>
        <v/>
      </c>
      <c r="I891" s="8" t="str">
        <f aca="false">IF(D891="","",F891*IFERROR(INDEX(Товары!$D$2:$D$200,MATCH(D891,Товары!$A$2:$A$200,0)),0))</f>
        <v/>
      </c>
      <c r="J891" s="8" t="str">
        <f aca="false">IF(D891="","",H891-I891)</f>
        <v/>
      </c>
      <c r="K891" s="7" t="str">
        <f aca="false">IF(A891="","",MONTH(A891))</f>
        <v/>
      </c>
      <c r="L891" s="7" t="str">
        <f aca="false">IF(A891="","",YEAR(A891))</f>
        <v/>
      </c>
      <c r="M891" s="9" t="str">
        <f aca="false">IF(B891="","",B891&amp;"|"&amp;COUNTIF(B$2:B891,B891))</f>
        <v/>
      </c>
    </row>
    <row r="892" customFormat="false" ht="15" hidden="false" customHeight="false" outlineLevel="0" collapsed="false">
      <c r="A892" s="5"/>
      <c r="B892" s="6"/>
      <c r="C892" s="6"/>
      <c r="D892" s="6"/>
      <c r="E892" s="7" t="str">
        <f aca="false">IF(D892="","",IFERROR(INDEX(Товары!$B$2:$B$200,MATCH(D892,Товары!$A$2:$A$200,0)),"нет в справочнике"))</f>
        <v/>
      </c>
      <c r="F892" s="6"/>
      <c r="G892" s="8" t="str">
        <f aca="false">IF(D892="","",IFERROR(INDEX(Товары!$C$2:$C$200,MATCH(D892,Товары!$A$2:$A$200,0)),0))</f>
        <v/>
      </c>
      <c r="H892" s="8" t="str">
        <f aca="false">IF(D892="","",F892*G892)</f>
        <v/>
      </c>
      <c r="I892" s="8" t="str">
        <f aca="false">IF(D892="","",F892*IFERROR(INDEX(Товары!$D$2:$D$200,MATCH(D892,Товары!$A$2:$A$200,0)),0))</f>
        <v/>
      </c>
      <c r="J892" s="8" t="str">
        <f aca="false">IF(D892="","",H892-I892)</f>
        <v/>
      </c>
      <c r="K892" s="7" t="str">
        <f aca="false">IF(A892="","",MONTH(A892))</f>
        <v/>
      </c>
      <c r="L892" s="7" t="str">
        <f aca="false">IF(A892="","",YEAR(A892))</f>
        <v/>
      </c>
      <c r="M892" s="9" t="str">
        <f aca="false">IF(B892="","",B892&amp;"|"&amp;COUNTIF(B$2:B892,B892))</f>
        <v/>
      </c>
    </row>
    <row r="893" customFormat="false" ht="15" hidden="false" customHeight="false" outlineLevel="0" collapsed="false">
      <c r="A893" s="5"/>
      <c r="B893" s="6"/>
      <c r="C893" s="6"/>
      <c r="D893" s="6"/>
      <c r="E893" s="7" t="str">
        <f aca="false">IF(D893="","",IFERROR(INDEX(Товары!$B$2:$B$200,MATCH(D893,Товары!$A$2:$A$200,0)),"нет в справочнике"))</f>
        <v/>
      </c>
      <c r="F893" s="6"/>
      <c r="G893" s="8" t="str">
        <f aca="false">IF(D893="","",IFERROR(INDEX(Товары!$C$2:$C$200,MATCH(D893,Товары!$A$2:$A$200,0)),0))</f>
        <v/>
      </c>
      <c r="H893" s="8" t="str">
        <f aca="false">IF(D893="","",F893*G893)</f>
        <v/>
      </c>
      <c r="I893" s="8" t="str">
        <f aca="false">IF(D893="","",F893*IFERROR(INDEX(Товары!$D$2:$D$200,MATCH(D893,Товары!$A$2:$A$200,0)),0))</f>
        <v/>
      </c>
      <c r="J893" s="8" t="str">
        <f aca="false">IF(D893="","",H893-I893)</f>
        <v/>
      </c>
      <c r="K893" s="7" t="str">
        <f aca="false">IF(A893="","",MONTH(A893))</f>
        <v/>
      </c>
      <c r="L893" s="7" t="str">
        <f aca="false">IF(A893="","",YEAR(A893))</f>
        <v/>
      </c>
      <c r="M893" s="9" t="str">
        <f aca="false">IF(B893="","",B893&amp;"|"&amp;COUNTIF(B$2:B893,B893))</f>
        <v/>
      </c>
    </row>
    <row r="894" customFormat="false" ht="15" hidden="false" customHeight="false" outlineLevel="0" collapsed="false">
      <c r="A894" s="5"/>
      <c r="B894" s="6"/>
      <c r="C894" s="6"/>
      <c r="D894" s="6"/>
      <c r="E894" s="7" t="str">
        <f aca="false">IF(D894="","",IFERROR(INDEX(Товары!$B$2:$B$200,MATCH(D894,Товары!$A$2:$A$200,0)),"нет в справочнике"))</f>
        <v/>
      </c>
      <c r="F894" s="6"/>
      <c r="G894" s="8" t="str">
        <f aca="false">IF(D894="","",IFERROR(INDEX(Товары!$C$2:$C$200,MATCH(D894,Товары!$A$2:$A$200,0)),0))</f>
        <v/>
      </c>
      <c r="H894" s="8" t="str">
        <f aca="false">IF(D894="","",F894*G894)</f>
        <v/>
      </c>
      <c r="I894" s="8" t="str">
        <f aca="false">IF(D894="","",F894*IFERROR(INDEX(Товары!$D$2:$D$200,MATCH(D894,Товары!$A$2:$A$200,0)),0))</f>
        <v/>
      </c>
      <c r="J894" s="8" t="str">
        <f aca="false">IF(D894="","",H894-I894)</f>
        <v/>
      </c>
      <c r="K894" s="7" t="str">
        <f aca="false">IF(A894="","",MONTH(A894))</f>
        <v/>
      </c>
      <c r="L894" s="7" t="str">
        <f aca="false">IF(A894="","",YEAR(A894))</f>
        <v/>
      </c>
      <c r="M894" s="9" t="str">
        <f aca="false">IF(B894="","",B894&amp;"|"&amp;COUNTIF(B$2:B894,B894))</f>
        <v/>
      </c>
    </row>
    <row r="895" customFormat="false" ht="15" hidden="false" customHeight="false" outlineLevel="0" collapsed="false">
      <c r="A895" s="5"/>
      <c r="B895" s="6"/>
      <c r="C895" s="6"/>
      <c r="D895" s="6"/>
      <c r="E895" s="7" t="str">
        <f aca="false">IF(D895="","",IFERROR(INDEX(Товары!$B$2:$B$200,MATCH(D895,Товары!$A$2:$A$200,0)),"нет в справочнике"))</f>
        <v/>
      </c>
      <c r="F895" s="6"/>
      <c r="G895" s="8" t="str">
        <f aca="false">IF(D895="","",IFERROR(INDEX(Товары!$C$2:$C$200,MATCH(D895,Товары!$A$2:$A$200,0)),0))</f>
        <v/>
      </c>
      <c r="H895" s="8" t="str">
        <f aca="false">IF(D895="","",F895*G895)</f>
        <v/>
      </c>
      <c r="I895" s="8" t="str">
        <f aca="false">IF(D895="","",F895*IFERROR(INDEX(Товары!$D$2:$D$200,MATCH(D895,Товары!$A$2:$A$200,0)),0))</f>
        <v/>
      </c>
      <c r="J895" s="8" t="str">
        <f aca="false">IF(D895="","",H895-I895)</f>
        <v/>
      </c>
      <c r="K895" s="7" t="str">
        <f aca="false">IF(A895="","",MONTH(A895))</f>
        <v/>
      </c>
      <c r="L895" s="7" t="str">
        <f aca="false">IF(A895="","",YEAR(A895))</f>
        <v/>
      </c>
      <c r="M895" s="9" t="str">
        <f aca="false">IF(B895="","",B895&amp;"|"&amp;COUNTIF(B$2:B895,B895))</f>
        <v/>
      </c>
    </row>
    <row r="896" customFormat="false" ht="15" hidden="false" customHeight="false" outlineLevel="0" collapsed="false">
      <c r="A896" s="5"/>
      <c r="B896" s="6"/>
      <c r="C896" s="6"/>
      <c r="D896" s="6"/>
      <c r="E896" s="7" t="str">
        <f aca="false">IF(D896="","",IFERROR(INDEX(Товары!$B$2:$B$200,MATCH(D896,Товары!$A$2:$A$200,0)),"нет в справочнике"))</f>
        <v/>
      </c>
      <c r="F896" s="6"/>
      <c r="G896" s="8" t="str">
        <f aca="false">IF(D896="","",IFERROR(INDEX(Товары!$C$2:$C$200,MATCH(D896,Товары!$A$2:$A$200,0)),0))</f>
        <v/>
      </c>
      <c r="H896" s="8" t="str">
        <f aca="false">IF(D896="","",F896*G896)</f>
        <v/>
      </c>
      <c r="I896" s="8" t="str">
        <f aca="false">IF(D896="","",F896*IFERROR(INDEX(Товары!$D$2:$D$200,MATCH(D896,Товары!$A$2:$A$200,0)),0))</f>
        <v/>
      </c>
      <c r="J896" s="8" t="str">
        <f aca="false">IF(D896="","",H896-I896)</f>
        <v/>
      </c>
      <c r="K896" s="7" t="str">
        <f aca="false">IF(A896="","",MONTH(A896))</f>
        <v/>
      </c>
      <c r="L896" s="7" t="str">
        <f aca="false">IF(A896="","",YEAR(A896))</f>
        <v/>
      </c>
      <c r="M896" s="9" t="str">
        <f aca="false">IF(B896="","",B896&amp;"|"&amp;COUNTIF(B$2:B896,B896))</f>
        <v/>
      </c>
    </row>
    <row r="897" customFormat="false" ht="15" hidden="false" customHeight="false" outlineLevel="0" collapsed="false">
      <c r="A897" s="5"/>
      <c r="B897" s="6"/>
      <c r="C897" s="6"/>
      <c r="D897" s="6"/>
      <c r="E897" s="7" t="str">
        <f aca="false">IF(D897="","",IFERROR(INDEX(Товары!$B$2:$B$200,MATCH(D897,Товары!$A$2:$A$200,0)),"нет в справочнике"))</f>
        <v/>
      </c>
      <c r="F897" s="6"/>
      <c r="G897" s="8" t="str">
        <f aca="false">IF(D897="","",IFERROR(INDEX(Товары!$C$2:$C$200,MATCH(D897,Товары!$A$2:$A$200,0)),0))</f>
        <v/>
      </c>
      <c r="H897" s="8" t="str">
        <f aca="false">IF(D897="","",F897*G897)</f>
        <v/>
      </c>
      <c r="I897" s="8" t="str">
        <f aca="false">IF(D897="","",F897*IFERROR(INDEX(Товары!$D$2:$D$200,MATCH(D897,Товары!$A$2:$A$200,0)),0))</f>
        <v/>
      </c>
      <c r="J897" s="8" t="str">
        <f aca="false">IF(D897="","",H897-I897)</f>
        <v/>
      </c>
      <c r="K897" s="7" t="str">
        <f aca="false">IF(A897="","",MONTH(A897))</f>
        <v/>
      </c>
      <c r="L897" s="7" t="str">
        <f aca="false">IF(A897="","",YEAR(A897))</f>
        <v/>
      </c>
      <c r="M897" s="9" t="str">
        <f aca="false">IF(B897="","",B897&amp;"|"&amp;COUNTIF(B$2:B897,B897))</f>
        <v/>
      </c>
    </row>
    <row r="898" customFormat="false" ht="15" hidden="false" customHeight="false" outlineLevel="0" collapsed="false">
      <c r="A898" s="5"/>
      <c r="B898" s="6"/>
      <c r="C898" s="6"/>
      <c r="D898" s="6"/>
      <c r="E898" s="7" t="str">
        <f aca="false">IF(D898="","",IFERROR(INDEX(Товары!$B$2:$B$200,MATCH(D898,Товары!$A$2:$A$200,0)),"нет в справочнике"))</f>
        <v/>
      </c>
      <c r="F898" s="6"/>
      <c r="G898" s="8" t="str">
        <f aca="false">IF(D898="","",IFERROR(INDEX(Товары!$C$2:$C$200,MATCH(D898,Товары!$A$2:$A$200,0)),0))</f>
        <v/>
      </c>
      <c r="H898" s="8" t="str">
        <f aca="false">IF(D898="","",F898*G898)</f>
        <v/>
      </c>
      <c r="I898" s="8" t="str">
        <f aca="false">IF(D898="","",F898*IFERROR(INDEX(Товары!$D$2:$D$200,MATCH(D898,Товары!$A$2:$A$200,0)),0))</f>
        <v/>
      </c>
      <c r="J898" s="8" t="str">
        <f aca="false">IF(D898="","",H898-I898)</f>
        <v/>
      </c>
      <c r="K898" s="7" t="str">
        <f aca="false">IF(A898="","",MONTH(A898))</f>
        <v/>
      </c>
      <c r="L898" s="7" t="str">
        <f aca="false">IF(A898="","",YEAR(A898))</f>
        <v/>
      </c>
      <c r="M898" s="9" t="str">
        <f aca="false">IF(B898="","",B898&amp;"|"&amp;COUNTIF(B$2:B898,B898))</f>
        <v/>
      </c>
    </row>
    <row r="899" customFormat="false" ht="15" hidden="false" customHeight="false" outlineLevel="0" collapsed="false">
      <c r="A899" s="5"/>
      <c r="B899" s="6"/>
      <c r="C899" s="6"/>
      <c r="D899" s="6"/>
      <c r="E899" s="7" t="str">
        <f aca="false">IF(D899="","",IFERROR(INDEX(Товары!$B$2:$B$200,MATCH(D899,Товары!$A$2:$A$200,0)),"нет в справочнике"))</f>
        <v/>
      </c>
      <c r="F899" s="6"/>
      <c r="G899" s="8" t="str">
        <f aca="false">IF(D899="","",IFERROR(INDEX(Товары!$C$2:$C$200,MATCH(D899,Товары!$A$2:$A$200,0)),0))</f>
        <v/>
      </c>
      <c r="H899" s="8" t="str">
        <f aca="false">IF(D899="","",F899*G899)</f>
        <v/>
      </c>
      <c r="I899" s="8" t="str">
        <f aca="false">IF(D899="","",F899*IFERROR(INDEX(Товары!$D$2:$D$200,MATCH(D899,Товары!$A$2:$A$200,0)),0))</f>
        <v/>
      </c>
      <c r="J899" s="8" t="str">
        <f aca="false">IF(D899="","",H899-I899)</f>
        <v/>
      </c>
      <c r="K899" s="7" t="str">
        <f aca="false">IF(A899="","",MONTH(A899))</f>
        <v/>
      </c>
      <c r="L899" s="7" t="str">
        <f aca="false">IF(A899="","",YEAR(A899))</f>
        <v/>
      </c>
      <c r="M899" s="9" t="str">
        <f aca="false">IF(B899="","",B899&amp;"|"&amp;COUNTIF(B$2:B899,B899))</f>
        <v/>
      </c>
    </row>
    <row r="900" customFormat="false" ht="15" hidden="false" customHeight="false" outlineLevel="0" collapsed="false">
      <c r="A900" s="5"/>
      <c r="B900" s="6"/>
      <c r="C900" s="6"/>
      <c r="D900" s="6"/>
      <c r="E900" s="7" t="str">
        <f aca="false">IF(D900="","",IFERROR(INDEX(Товары!$B$2:$B$200,MATCH(D900,Товары!$A$2:$A$200,0)),"нет в справочнике"))</f>
        <v/>
      </c>
      <c r="F900" s="6"/>
      <c r="G900" s="8" t="str">
        <f aca="false">IF(D900="","",IFERROR(INDEX(Товары!$C$2:$C$200,MATCH(D900,Товары!$A$2:$A$200,0)),0))</f>
        <v/>
      </c>
      <c r="H900" s="8" t="str">
        <f aca="false">IF(D900="","",F900*G900)</f>
        <v/>
      </c>
      <c r="I900" s="8" t="str">
        <f aca="false">IF(D900="","",F900*IFERROR(INDEX(Товары!$D$2:$D$200,MATCH(D900,Товары!$A$2:$A$200,0)),0))</f>
        <v/>
      </c>
      <c r="J900" s="8" t="str">
        <f aca="false">IF(D900="","",H900-I900)</f>
        <v/>
      </c>
      <c r="K900" s="7" t="str">
        <f aca="false">IF(A900="","",MONTH(A900))</f>
        <v/>
      </c>
      <c r="L900" s="7" t="str">
        <f aca="false">IF(A900="","",YEAR(A900))</f>
        <v/>
      </c>
      <c r="M900" s="9" t="str">
        <f aca="false">IF(B900="","",B900&amp;"|"&amp;COUNTIF(B$2:B900,B900))</f>
        <v/>
      </c>
    </row>
    <row r="901" customFormat="false" ht="15" hidden="false" customHeight="false" outlineLevel="0" collapsed="false">
      <c r="A901" s="5"/>
      <c r="B901" s="6"/>
      <c r="C901" s="6"/>
      <c r="D901" s="6"/>
      <c r="E901" s="7" t="str">
        <f aca="false">IF(D901="","",IFERROR(INDEX(Товары!$B$2:$B$200,MATCH(D901,Товары!$A$2:$A$200,0)),"нет в справочнике"))</f>
        <v/>
      </c>
      <c r="F901" s="6"/>
      <c r="G901" s="8" t="str">
        <f aca="false">IF(D901="","",IFERROR(INDEX(Товары!$C$2:$C$200,MATCH(D901,Товары!$A$2:$A$200,0)),0))</f>
        <v/>
      </c>
      <c r="H901" s="8" t="str">
        <f aca="false">IF(D901="","",F901*G901)</f>
        <v/>
      </c>
      <c r="I901" s="8" t="str">
        <f aca="false">IF(D901="","",F901*IFERROR(INDEX(Товары!$D$2:$D$200,MATCH(D901,Товары!$A$2:$A$200,0)),0))</f>
        <v/>
      </c>
      <c r="J901" s="8" t="str">
        <f aca="false">IF(D901="","",H901-I901)</f>
        <v/>
      </c>
      <c r="K901" s="7" t="str">
        <f aca="false">IF(A901="","",MONTH(A901))</f>
        <v/>
      </c>
      <c r="L901" s="7" t="str">
        <f aca="false">IF(A901="","",YEAR(A901))</f>
        <v/>
      </c>
      <c r="M901" s="9" t="str">
        <f aca="false">IF(B901="","",B901&amp;"|"&amp;COUNTIF(B$2:B901,B901))</f>
        <v/>
      </c>
    </row>
    <row r="902" customFormat="false" ht="15" hidden="false" customHeight="false" outlineLevel="0" collapsed="false">
      <c r="A902" s="5"/>
      <c r="B902" s="6"/>
      <c r="C902" s="6"/>
      <c r="D902" s="6"/>
      <c r="E902" s="7" t="str">
        <f aca="false">IF(D902="","",IFERROR(INDEX(Товары!$B$2:$B$200,MATCH(D902,Товары!$A$2:$A$200,0)),"нет в справочнике"))</f>
        <v/>
      </c>
      <c r="F902" s="6"/>
      <c r="G902" s="8" t="str">
        <f aca="false">IF(D902="","",IFERROR(INDEX(Товары!$C$2:$C$200,MATCH(D902,Товары!$A$2:$A$200,0)),0))</f>
        <v/>
      </c>
      <c r="H902" s="8" t="str">
        <f aca="false">IF(D902="","",F902*G902)</f>
        <v/>
      </c>
      <c r="I902" s="8" t="str">
        <f aca="false">IF(D902="","",F902*IFERROR(INDEX(Товары!$D$2:$D$200,MATCH(D902,Товары!$A$2:$A$200,0)),0))</f>
        <v/>
      </c>
      <c r="J902" s="8" t="str">
        <f aca="false">IF(D902="","",H902-I902)</f>
        <v/>
      </c>
      <c r="K902" s="7" t="str">
        <f aca="false">IF(A902="","",MONTH(A902))</f>
        <v/>
      </c>
      <c r="L902" s="7" t="str">
        <f aca="false">IF(A902="","",YEAR(A902))</f>
        <v/>
      </c>
      <c r="M902" s="9" t="str">
        <f aca="false">IF(B902="","",B902&amp;"|"&amp;COUNTIF(B$2:B902,B902))</f>
        <v/>
      </c>
    </row>
    <row r="903" customFormat="false" ht="15" hidden="false" customHeight="false" outlineLevel="0" collapsed="false">
      <c r="A903" s="5"/>
      <c r="B903" s="6"/>
      <c r="C903" s="6"/>
      <c r="D903" s="6"/>
      <c r="E903" s="7" t="str">
        <f aca="false">IF(D903="","",IFERROR(INDEX(Товары!$B$2:$B$200,MATCH(D903,Товары!$A$2:$A$200,0)),"нет в справочнике"))</f>
        <v/>
      </c>
      <c r="F903" s="6"/>
      <c r="G903" s="8" t="str">
        <f aca="false">IF(D903="","",IFERROR(INDEX(Товары!$C$2:$C$200,MATCH(D903,Товары!$A$2:$A$200,0)),0))</f>
        <v/>
      </c>
      <c r="H903" s="8" t="str">
        <f aca="false">IF(D903="","",F903*G903)</f>
        <v/>
      </c>
      <c r="I903" s="8" t="str">
        <f aca="false">IF(D903="","",F903*IFERROR(INDEX(Товары!$D$2:$D$200,MATCH(D903,Товары!$A$2:$A$200,0)),0))</f>
        <v/>
      </c>
      <c r="J903" s="8" t="str">
        <f aca="false">IF(D903="","",H903-I903)</f>
        <v/>
      </c>
      <c r="K903" s="7" t="str">
        <f aca="false">IF(A903="","",MONTH(A903))</f>
        <v/>
      </c>
      <c r="L903" s="7" t="str">
        <f aca="false">IF(A903="","",YEAR(A903))</f>
        <v/>
      </c>
      <c r="M903" s="9" t="str">
        <f aca="false">IF(B903="","",B903&amp;"|"&amp;COUNTIF(B$2:B903,B903))</f>
        <v/>
      </c>
    </row>
    <row r="904" customFormat="false" ht="15" hidden="false" customHeight="false" outlineLevel="0" collapsed="false">
      <c r="A904" s="5"/>
      <c r="B904" s="6"/>
      <c r="C904" s="6"/>
      <c r="D904" s="6"/>
      <c r="E904" s="7" t="str">
        <f aca="false">IF(D904="","",IFERROR(INDEX(Товары!$B$2:$B$200,MATCH(D904,Товары!$A$2:$A$200,0)),"нет в справочнике"))</f>
        <v/>
      </c>
      <c r="F904" s="6"/>
      <c r="G904" s="8" t="str">
        <f aca="false">IF(D904="","",IFERROR(INDEX(Товары!$C$2:$C$200,MATCH(D904,Товары!$A$2:$A$200,0)),0))</f>
        <v/>
      </c>
      <c r="H904" s="8" t="str">
        <f aca="false">IF(D904="","",F904*G904)</f>
        <v/>
      </c>
      <c r="I904" s="8" t="str">
        <f aca="false">IF(D904="","",F904*IFERROR(INDEX(Товары!$D$2:$D$200,MATCH(D904,Товары!$A$2:$A$200,0)),0))</f>
        <v/>
      </c>
      <c r="J904" s="8" t="str">
        <f aca="false">IF(D904="","",H904-I904)</f>
        <v/>
      </c>
      <c r="K904" s="7" t="str">
        <f aca="false">IF(A904="","",MONTH(A904))</f>
        <v/>
      </c>
      <c r="L904" s="7" t="str">
        <f aca="false">IF(A904="","",YEAR(A904))</f>
        <v/>
      </c>
      <c r="M904" s="9" t="str">
        <f aca="false">IF(B904="","",B904&amp;"|"&amp;COUNTIF(B$2:B904,B904))</f>
        <v/>
      </c>
    </row>
    <row r="905" customFormat="false" ht="15" hidden="false" customHeight="false" outlineLevel="0" collapsed="false">
      <c r="A905" s="5"/>
      <c r="B905" s="6"/>
      <c r="C905" s="6"/>
      <c r="D905" s="6"/>
      <c r="E905" s="7" t="str">
        <f aca="false">IF(D905="","",IFERROR(INDEX(Товары!$B$2:$B$200,MATCH(D905,Товары!$A$2:$A$200,0)),"нет в справочнике"))</f>
        <v/>
      </c>
      <c r="F905" s="6"/>
      <c r="G905" s="8" t="str">
        <f aca="false">IF(D905="","",IFERROR(INDEX(Товары!$C$2:$C$200,MATCH(D905,Товары!$A$2:$A$200,0)),0))</f>
        <v/>
      </c>
      <c r="H905" s="8" t="str">
        <f aca="false">IF(D905="","",F905*G905)</f>
        <v/>
      </c>
      <c r="I905" s="8" t="str">
        <f aca="false">IF(D905="","",F905*IFERROR(INDEX(Товары!$D$2:$D$200,MATCH(D905,Товары!$A$2:$A$200,0)),0))</f>
        <v/>
      </c>
      <c r="J905" s="8" t="str">
        <f aca="false">IF(D905="","",H905-I905)</f>
        <v/>
      </c>
      <c r="K905" s="7" t="str">
        <f aca="false">IF(A905="","",MONTH(A905))</f>
        <v/>
      </c>
      <c r="L905" s="7" t="str">
        <f aca="false">IF(A905="","",YEAR(A905))</f>
        <v/>
      </c>
      <c r="M905" s="9" t="str">
        <f aca="false">IF(B905="","",B905&amp;"|"&amp;COUNTIF(B$2:B905,B905))</f>
        <v/>
      </c>
    </row>
    <row r="906" customFormat="false" ht="15" hidden="false" customHeight="false" outlineLevel="0" collapsed="false">
      <c r="A906" s="5"/>
      <c r="B906" s="6"/>
      <c r="C906" s="6"/>
      <c r="D906" s="6"/>
      <c r="E906" s="7" t="str">
        <f aca="false">IF(D906="","",IFERROR(INDEX(Товары!$B$2:$B$200,MATCH(D906,Товары!$A$2:$A$200,0)),"нет в справочнике"))</f>
        <v/>
      </c>
      <c r="F906" s="6"/>
      <c r="G906" s="8" t="str">
        <f aca="false">IF(D906="","",IFERROR(INDEX(Товары!$C$2:$C$200,MATCH(D906,Товары!$A$2:$A$200,0)),0))</f>
        <v/>
      </c>
      <c r="H906" s="8" t="str">
        <f aca="false">IF(D906="","",F906*G906)</f>
        <v/>
      </c>
      <c r="I906" s="8" t="str">
        <f aca="false">IF(D906="","",F906*IFERROR(INDEX(Товары!$D$2:$D$200,MATCH(D906,Товары!$A$2:$A$200,0)),0))</f>
        <v/>
      </c>
      <c r="J906" s="8" t="str">
        <f aca="false">IF(D906="","",H906-I906)</f>
        <v/>
      </c>
      <c r="K906" s="7" t="str">
        <f aca="false">IF(A906="","",MONTH(A906))</f>
        <v/>
      </c>
      <c r="L906" s="7" t="str">
        <f aca="false">IF(A906="","",YEAR(A906))</f>
        <v/>
      </c>
      <c r="M906" s="9" t="str">
        <f aca="false">IF(B906="","",B906&amp;"|"&amp;COUNTIF(B$2:B906,B906))</f>
        <v/>
      </c>
    </row>
    <row r="907" customFormat="false" ht="15" hidden="false" customHeight="false" outlineLevel="0" collapsed="false">
      <c r="A907" s="5"/>
      <c r="B907" s="6"/>
      <c r="C907" s="6"/>
      <c r="D907" s="6"/>
      <c r="E907" s="7" t="str">
        <f aca="false">IF(D907="","",IFERROR(INDEX(Товары!$B$2:$B$200,MATCH(D907,Товары!$A$2:$A$200,0)),"нет в справочнике"))</f>
        <v/>
      </c>
      <c r="F907" s="6"/>
      <c r="G907" s="8" t="str">
        <f aca="false">IF(D907="","",IFERROR(INDEX(Товары!$C$2:$C$200,MATCH(D907,Товары!$A$2:$A$200,0)),0))</f>
        <v/>
      </c>
      <c r="H907" s="8" t="str">
        <f aca="false">IF(D907="","",F907*G907)</f>
        <v/>
      </c>
      <c r="I907" s="8" t="str">
        <f aca="false">IF(D907="","",F907*IFERROR(INDEX(Товары!$D$2:$D$200,MATCH(D907,Товары!$A$2:$A$200,0)),0))</f>
        <v/>
      </c>
      <c r="J907" s="8" t="str">
        <f aca="false">IF(D907="","",H907-I907)</f>
        <v/>
      </c>
      <c r="K907" s="7" t="str">
        <f aca="false">IF(A907="","",MONTH(A907))</f>
        <v/>
      </c>
      <c r="L907" s="7" t="str">
        <f aca="false">IF(A907="","",YEAR(A907))</f>
        <v/>
      </c>
      <c r="M907" s="9" t="str">
        <f aca="false">IF(B907="","",B907&amp;"|"&amp;COUNTIF(B$2:B907,B907))</f>
        <v/>
      </c>
    </row>
    <row r="908" customFormat="false" ht="15" hidden="false" customHeight="false" outlineLevel="0" collapsed="false">
      <c r="A908" s="5"/>
      <c r="B908" s="6"/>
      <c r="C908" s="6"/>
      <c r="D908" s="6"/>
      <c r="E908" s="7" t="str">
        <f aca="false">IF(D908="","",IFERROR(INDEX(Товары!$B$2:$B$200,MATCH(D908,Товары!$A$2:$A$200,0)),"нет в справочнике"))</f>
        <v/>
      </c>
      <c r="F908" s="6"/>
      <c r="G908" s="8" t="str">
        <f aca="false">IF(D908="","",IFERROR(INDEX(Товары!$C$2:$C$200,MATCH(D908,Товары!$A$2:$A$200,0)),0))</f>
        <v/>
      </c>
      <c r="H908" s="8" t="str">
        <f aca="false">IF(D908="","",F908*G908)</f>
        <v/>
      </c>
      <c r="I908" s="8" t="str">
        <f aca="false">IF(D908="","",F908*IFERROR(INDEX(Товары!$D$2:$D$200,MATCH(D908,Товары!$A$2:$A$200,0)),0))</f>
        <v/>
      </c>
      <c r="J908" s="8" t="str">
        <f aca="false">IF(D908="","",H908-I908)</f>
        <v/>
      </c>
      <c r="K908" s="7" t="str">
        <f aca="false">IF(A908="","",MONTH(A908))</f>
        <v/>
      </c>
      <c r="L908" s="7" t="str">
        <f aca="false">IF(A908="","",YEAR(A908))</f>
        <v/>
      </c>
      <c r="M908" s="9" t="str">
        <f aca="false">IF(B908="","",B908&amp;"|"&amp;COUNTIF(B$2:B908,B908))</f>
        <v/>
      </c>
    </row>
    <row r="909" customFormat="false" ht="15" hidden="false" customHeight="false" outlineLevel="0" collapsed="false">
      <c r="A909" s="5"/>
      <c r="B909" s="6"/>
      <c r="C909" s="6"/>
      <c r="D909" s="6"/>
      <c r="E909" s="7" t="str">
        <f aca="false">IF(D909="","",IFERROR(INDEX(Товары!$B$2:$B$200,MATCH(D909,Товары!$A$2:$A$200,0)),"нет в справочнике"))</f>
        <v/>
      </c>
      <c r="F909" s="6"/>
      <c r="G909" s="8" t="str">
        <f aca="false">IF(D909="","",IFERROR(INDEX(Товары!$C$2:$C$200,MATCH(D909,Товары!$A$2:$A$200,0)),0))</f>
        <v/>
      </c>
      <c r="H909" s="8" t="str">
        <f aca="false">IF(D909="","",F909*G909)</f>
        <v/>
      </c>
      <c r="I909" s="8" t="str">
        <f aca="false">IF(D909="","",F909*IFERROR(INDEX(Товары!$D$2:$D$200,MATCH(D909,Товары!$A$2:$A$200,0)),0))</f>
        <v/>
      </c>
      <c r="J909" s="8" t="str">
        <f aca="false">IF(D909="","",H909-I909)</f>
        <v/>
      </c>
      <c r="K909" s="7" t="str">
        <f aca="false">IF(A909="","",MONTH(A909))</f>
        <v/>
      </c>
      <c r="L909" s="7" t="str">
        <f aca="false">IF(A909="","",YEAR(A909))</f>
        <v/>
      </c>
      <c r="M909" s="9" t="str">
        <f aca="false">IF(B909="","",B909&amp;"|"&amp;COUNTIF(B$2:B909,B909))</f>
        <v/>
      </c>
    </row>
    <row r="910" customFormat="false" ht="15" hidden="false" customHeight="false" outlineLevel="0" collapsed="false">
      <c r="A910" s="5"/>
      <c r="B910" s="6"/>
      <c r="C910" s="6"/>
      <c r="D910" s="6"/>
      <c r="E910" s="7" t="str">
        <f aca="false">IF(D910="","",IFERROR(INDEX(Товары!$B$2:$B$200,MATCH(D910,Товары!$A$2:$A$200,0)),"нет в справочнике"))</f>
        <v/>
      </c>
      <c r="F910" s="6"/>
      <c r="G910" s="8" t="str">
        <f aca="false">IF(D910="","",IFERROR(INDEX(Товары!$C$2:$C$200,MATCH(D910,Товары!$A$2:$A$200,0)),0))</f>
        <v/>
      </c>
      <c r="H910" s="8" t="str">
        <f aca="false">IF(D910="","",F910*G910)</f>
        <v/>
      </c>
      <c r="I910" s="8" t="str">
        <f aca="false">IF(D910="","",F910*IFERROR(INDEX(Товары!$D$2:$D$200,MATCH(D910,Товары!$A$2:$A$200,0)),0))</f>
        <v/>
      </c>
      <c r="J910" s="8" t="str">
        <f aca="false">IF(D910="","",H910-I910)</f>
        <v/>
      </c>
      <c r="K910" s="7" t="str">
        <f aca="false">IF(A910="","",MONTH(A910))</f>
        <v/>
      </c>
      <c r="L910" s="7" t="str">
        <f aca="false">IF(A910="","",YEAR(A910))</f>
        <v/>
      </c>
      <c r="M910" s="9" t="str">
        <f aca="false">IF(B910="","",B910&amp;"|"&amp;COUNTIF(B$2:B910,B910))</f>
        <v/>
      </c>
    </row>
    <row r="911" customFormat="false" ht="15" hidden="false" customHeight="false" outlineLevel="0" collapsed="false">
      <c r="A911" s="5"/>
      <c r="B911" s="6"/>
      <c r="C911" s="6"/>
      <c r="D911" s="6"/>
      <c r="E911" s="7" t="str">
        <f aca="false">IF(D911="","",IFERROR(INDEX(Товары!$B$2:$B$200,MATCH(D911,Товары!$A$2:$A$200,0)),"нет в справочнике"))</f>
        <v/>
      </c>
      <c r="F911" s="6"/>
      <c r="G911" s="8" t="str">
        <f aca="false">IF(D911="","",IFERROR(INDEX(Товары!$C$2:$C$200,MATCH(D911,Товары!$A$2:$A$200,0)),0))</f>
        <v/>
      </c>
      <c r="H911" s="8" t="str">
        <f aca="false">IF(D911="","",F911*G911)</f>
        <v/>
      </c>
      <c r="I911" s="8" t="str">
        <f aca="false">IF(D911="","",F911*IFERROR(INDEX(Товары!$D$2:$D$200,MATCH(D911,Товары!$A$2:$A$200,0)),0))</f>
        <v/>
      </c>
      <c r="J911" s="8" t="str">
        <f aca="false">IF(D911="","",H911-I911)</f>
        <v/>
      </c>
      <c r="K911" s="7" t="str">
        <f aca="false">IF(A911="","",MONTH(A911))</f>
        <v/>
      </c>
      <c r="L911" s="7" t="str">
        <f aca="false">IF(A911="","",YEAR(A911))</f>
        <v/>
      </c>
      <c r="M911" s="9" t="str">
        <f aca="false">IF(B911="","",B911&amp;"|"&amp;COUNTIF(B$2:B911,B911))</f>
        <v/>
      </c>
    </row>
    <row r="912" customFormat="false" ht="15" hidden="false" customHeight="false" outlineLevel="0" collapsed="false">
      <c r="A912" s="5"/>
      <c r="B912" s="6"/>
      <c r="C912" s="6"/>
      <c r="D912" s="6"/>
      <c r="E912" s="7" t="str">
        <f aca="false">IF(D912="","",IFERROR(INDEX(Товары!$B$2:$B$200,MATCH(D912,Товары!$A$2:$A$200,0)),"нет в справочнике"))</f>
        <v/>
      </c>
      <c r="F912" s="6"/>
      <c r="G912" s="8" t="str">
        <f aca="false">IF(D912="","",IFERROR(INDEX(Товары!$C$2:$C$200,MATCH(D912,Товары!$A$2:$A$200,0)),0))</f>
        <v/>
      </c>
      <c r="H912" s="8" t="str">
        <f aca="false">IF(D912="","",F912*G912)</f>
        <v/>
      </c>
      <c r="I912" s="8" t="str">
        <f aca="false">IF(D912="","",F912*IFERROR(INDEX(Товары!$D$2:$D$200,MATCH(D912,Товары!$A$2:$A$200,0)),0))</f>
        <v/>
      </c>
      <c r="J912" s="8" t="str">
        <f aca="false">IF(D912="","",H912-I912)</f>
        <v/>
      </c>
      <c r="K912" s="7" t="str">
        <f aca="false">IF(A912="","",MONTH(A912))</f>
        <v/>
      </c>
      <c r="L912" s="7" t="str">
        <f aca="false">IF(A912="","",YEAR(A912))</f>
        <v/>
      </c>
      <c r="M912" s="9" t="str">
        <f aca="false">IF(B912="","",B912&amp;"|"&amp;COUNTIF(B$2:B912,B912))</f>
        <v/>
      </c>
    </row>
    <row r="913" customFormat="false" ht="15" hidden="false" customHeight="false" outlineLevel="0" collapsed="false">
      <c r="A913" s="5"/>
      <c r="B913" s="6"/>
      <c r="C913" s="6"/>
      <c r="D913" s="6"/>
      <c r="E913" s="7" t="str">
        <f aca="false">IF(D913="","",IFERROR(INDEX(Товары!$B$2:$B$200,MATCH(D913,Товары!$A$2:$A$200,0)),"нет в справочнике"))</f>
        <v/>
      </c>
      <c r="F913" s="6"/>
      <c r="G913" s="8" t="str">
        <f aca="false">IF(D913="","",IFERROR(INDEX(Товары!$C$2:$C$200,MATCH(D913,Товары!$A$2:$A$200,0)),0))</f>
        <v/>
      </c>
      <c r="H913" s="8" t="str">
        <f aca="false">IF(D913="","",F913*G913)</f>
        <v/>
      </c>
      <c r="I913" s="8" t="str">
        <f aca="false">IF(D913="","",F913*IFERROR(INDEX(Товары!$D$2:$D$200,MATCH(D913,Товары!$A$2:$A$200,0)),0))</f>
        <v/>
      </c>
      <c r="J913" s="8" t="str">
        <f aca="false">IF(D913="","",H913-I913)</f>
        <v/>
      </c>
      <c r="K913" s="7" t="str">
        <f aca="false">IF(A913="","",MONTH(A913))</f>
        <v/>
      </c>
      <c r="L913" s="7" t="str">
        <f aca="false">IF(A913="","",YEAR(A913))</f>
        <v/>
      </c>
      <c r="M913" s="9" t="str">
        <f aca="false">IF(B913="","",B913&amp;"|"&amp;COUNTIF(B$2:B913,B913))</f>
        <v/>
      </c>
    </row>
    <row r="914" customFormat="false" ht="15" hidden="false" customHeight="false" outlineLevel="0" collapsed="false">
      <c r="A914" s="5"/>
      <c r="B914" s="6"/>
      <c r="C914" s="6"/>
      <c r="D914" s="6"/>
      <c r="E914" s="7" t="str">
        <f aca="false">IF(D914="","",IFERROR(INDEX(Товары!$B$2:$B$200,MATCH(D914,Товары!$A$2:$A$200,0)),"нет в справочнике"))</f>
        <v/>
      </c>
      <c r="F914" s="6"/>
      <c r="G914" s="8" t="str">
        <f aca="false">IF(D914="","",IFERROR(INDEX(Товары!$C$2:$C$200,MATCH(D914,Товары!$A$2:$A$200,0)),0))</f>
        <v/>
      </c>
      <c r="H914" s="8" t="str">
        <f aca="false">IF(D914="","",F914*G914)</f>
        <v/>
      </c>
      <c r="I914" s="8" t="str">
        <f aca="false">IF(D914="","",F914*IFERROR(INDEX(Товары!$D$2:$D$200,MATCH(D914,Товары!$A$2:$A$200,0)),0))</f>
        <v/>
      </c>
      <c r="J914" s="8" t="str">
        <f aca="false">IF(D914="","",H914-I914)</f>
        <v/>
      </c>
      <c r="K914" s="7" t="str">
        <f aca="false">IF(A914="","",MONTH(A914))</f>
        <v/>
      </c>
      <c r="L914" s="7" t="str">
        <f aca="false">IF(A914="","",YEAR(A914))</f>
        <v/>
      </c>
      <c r="M914" s="9" t="str">
        <f aca="false">IF(B914="","",B914&amp;"|"&amp;COUNTIF(B$2:B914,B914))</f>
        <v/>
      </c>
    </row>
    <row r="915" customFormat="false" ht="15" hidden="false" customHeight="false" outlineLevel="0" collapsed="false">
      <c r="A915" s="5"/>
      <c r="B915" s="6"/>
      <c r="C915" s="6"/>
      <c r="D915" s="6"/>
      <c r="E915" s="7" t="str">
        <f aca="false">IF(D915="","",IFERROR(INDEX(Товары!$B$2:$B$200,MATCH(D915,Товары!$A$2:$A$200,0)),"нет в справочнике"))</f>
        <v/>
      </c>
      <c r="F915" s="6"/>
      <c r="G915" s="8" t="str">
        <f aca="false">IF(D915="","",IFERROR(INDEX(Товары!$C$2:$C$200,MATCH(D915,Товары!$A$2:$A$200,0)),0))</f>
        <v/>
      </c>
      <c r="H915" s="8" t="str">
        <f aca="false">IF(D915="","",F915*G915)</f>
        <v/>
      </c>
      <c r="I915" s="8" t="str">
        <f aca="false">IF(D915="","",F915*IFERROR(INDEX(Товары!$D$2:$D$200,MATCH(D915,Товары!$A$2:$A$200,0)),0))</f>
        <v/>
      </c>
      <c r="J915" s="8" t="str">
        <f aca="false">IF(D915="","",H915-I915)</f>
        <v/>
      </c>
      <c r="K915" s="7" t="str">
        <f aca="false">IF(A915="","",MONTH(A915))</f>
        <v/>
      </c>
      <c r="L915" s="7" t="str">
        <f aca="false">IF(A915="","",YEAR(A915))</f>
        <v/>
      </c>
      <c r="M915" s="9" t="str">
        <f aca="false">IF(B915="","",B915&amp;"|"&amp;COUNTIF(B$2:B915,B915))</f>
        <v/>
      </c>
    </row>
    <row r="916" customFormat="false" ht="15" hidden="false" customHeight="false" outlineLevel="0" collapsed="false">
      <c r="A916" s="5"/>
      <c r="B916" s="6"/>
      <c r="C916" s="6"/>
      <c r="D916" s="6"/>
      <c r="E916" s="7" t="str">
        <f aca="false">IF(D916="","",IFERROR(INDEX(Товары!$B$2:$B$200,MATCH(D916,Товары!$A$2:$A$200,0)),"нет в справочнике"))</f>
        <v/>
      </c>
      <c r="F916" s="6"/>
      <c r="G916" s="8" t="str">
        <f aca="false">IF(D916="","",IFERROR(INDEX(Товары!$C$2:$C$200,MATCH(D916,Товары!$A$2:$A$200,0)),0))</f>
        <v/>
      </c>
      <c r="H916" s="8" t="str">
        <f aca="false">IF(D916="","",F916*G916)</f>
        <v/>
      </c>
      <c r="I916" s="8" t="str">
        <f aca="false">IF(D916="","",F916*IFERROR(INDEX(Товары!$D$2:$D$200,MATCH(D916,Товары!$A$2:$A$200,0)),0))</f>
        <v/>
      </c>
      <c r="J916" s="8" t="str">
        <f aca="false">IF(D916="","",H916-I916)</f>
        <v/>
      </c>
      <c r="K916" s="7" t="str">
        <f aca="false">IF(A916="","",MONTH(A916))</f>
        <v/>
      </c>
      <c r="L916" s="7" t="str">
        <f aca="false">IF(A916="","",YEAR(A916))</f>
        <v/>
      </c>
      <c r="M916" s="9" t="str">
        <f aca="false">IF(B916="","",B916&amp;"|"&amp;COUNTIF(B$2:B916,B916))</f>
        <v/>
      </c>
    </row>
    <row r="917" customFormat="false" ht="15" hidden="false" customHeight="false" outlineLevel="0" collapsed="false">
      <c r="A917" s="5"/>
      <c r="B917" s="6"/>
      <c r="C917" s="6"/>
      <c r="D917" s="6"/>
      <c r="E917" s="7" t="str">
        <f aca="false">IF(D917="","",IFERROR(INDEX(Товары!$B$2:$B$200,MATCH(D917,Товары!$A$2:$A$200,0)),"нет в справочнике"))</f>
        <v/>
      </c>
      <c r="F917" s="6"/>
      <c r="G917" s="8" t="str">
        <f aca="false">IF(D917="","",IFERROR(INDEX(Товары!$C$2:$C$200,MATCH(D917,Товары!$A$2:$A$200,0)),0))</f>
        <v/>
      </c>
      <c r="H917" s="8" t="str">
        <f aca="false">IF(D917="","",F917*G917)</f>
        <v/>
      </c>
      <c r="I917" s="8" t="str">
        <f aca="false">IF(D917="","",F917*IFERROR(INDEX(Товары!$D$2:$D$200,MATCH(D917,Товары!$A$2:$A$200,0)),0))</f>
        <v/>
      </c>
      <c r="J917" s="8" t="str">
        <f aca="false">IF(D917="","",H917-I917)</f>
        <v/>
      </c>
      <c r="K917" s="7" t="str">
        <f aca="false">IF(A917="","",MONTH(A917))</f>
        <v/>
      </c>
      <c r="L917" s="7" t="str">
        <f aca="false">IF(A917="","",YEAR(A917))</f>
        <v/>
      </c>
      <c r="M917" s="9" t="str">
        <f aca="false">IF(B917="","",B917&amp;"|"&amp;COUNTIF(B$2:B917,B917))</f>
        <v/>
      </c>
    </row>
    <row r="918" customFormat="false" ht="15" hidden="false" customHeight="false" outlineLevel="0" collapsed="false">
      <c r="A918" s="5"/>
      <c r="B918" s="6"/>
      <c r="C918" s="6"/>
      <c r="D918" s="6"/>
      <c r="E918" s="7" t="str">
        <f aca="false">IF(D918="","",IFERROR(INDEX(Товары!$B$2:$B$200,MATCH(D918,Товары!$A$2:$A$200,0)),"нет в справочнике"))</f>
        <v/>
      </c>
      <c r="F918" s="6"/>
      <c r="G918" s="8" t="str">
        <f aca="false">IF(D918="","",IFERROR(INDEX(Товары!$C$2:$C$200,MATCH(D918,Товары!$A$2:$A$200,0)),0))</f>
        <v/>
      </c>
      <c r="H918" s="8" t="str">
        <f aca="false">IF(D918="","",F918*G918)</f>
        <v/>
      </c>
      <c r="I918" s="8" t="str">
        <f aca="false">IF(D918="","",F918*IFERROR(INDEX(Товары!$D$2:$D$200,MATCH(D918,Товары!$A$2:$A$200,0)),0))</f>
        <v/>
      </c>
      <c r="J918" s="8" t="str">
        <f aca="false">IF(D918="","",H918-I918)</f>
        <v/>
      </c>
      <c r="K918" s="7" t="str">
        <f aca="false">IF(A918="","",MONTH(A918))</f>
        <v/>
      </c>
      <c r="L918" s="7" t="str">
        <f aca="false">IF(A918="","",YEAR(A918))</f>
        <v/>
      </c>
      <c r="M918" s="9" t="str">
        <f aca="false">IF(B918="","",B918&amp;"|"&amp;COUNTIF(B$2:B918,B918))</f>
        <v/>
      </c>
    </row>
    <row r="919" customFormat="false" ht="15" hidden="false" customHeight="false" outlineLevel="0" collapsed="false">
      <c r="A919" s="5"/>
      <c r="B919" s="6"/>
      <c r="C919" s="6"/>
      <c r="D919" s="6"/>
      <c r="E919" s="7" t="str">
        <f aca="false">IF(D919="","",IFERROR(INDEX(Товары!$B$2:$B$200,MATCH(D919,Товары!$A$2:$A$200,0)),"нет в справочнике"))</f>
        <v/>
      </c>
      <c r="F919" s="6"/>
      <c r="G919" s="8" t="str">
        <f aca="false">IF(D919="","",IFERROR(INDEX(Товары!$C$2:$C$200,MATCH(D919,Товары!$A$2:$A$200,0)),0))</f>
        <v/>
      </c>
      <c r="H919" s="8" t="str">
        <f aca="false">IF(D919="","",F919*G919)</f>
        <v/>
      </c>
      <c r="I919" s="8" t="str">
        <f aca="false">IF(D919="","",F919*IFERROR(INDEX(Товары!$D$2:$D$200,MATCH(D919,Товары!$A$2:$A$200,0)),0))</f>
        <v/>
      </c>
      <c r="J919" s="8" t="str">
        <f aca="false">IF(D919="","",H919-I919)</f>
        <v/>
      </c>
      <c r="K919" s="7" t="str">
        <f aca="false">IF(A919="","",MONTH(A919))</f>
        <v/>
      </c>
      <c r="L919" s="7" t="str">
        <f aca="false">IF(A919="","",YEAR(A919))</f>
        <v/>
      </c>
      <c r="M919" s="9" t="str">
        <f aca="false">IF(B919="","",B919&amp;"|"&amp;COUNTIF(B$2:B919,B919))</f>
        <v/>
      </c>
    </row>
    <row r="920" customFormat="false" ht="15" hidden="false" customHeight="false" outlineLevel="0" collapsed="false">
      <c r="A920" s="5"/>
      <c r="B920" s="6"/>
      <c r="C920" s="6"/>
      <c r="D920" s="6"/>
      <c r="E920" s="7" t="str">
        <f aca="false">IF(D920="","",IFERROR(INDEX(Товары!$B$2:$B$200,MATCH(D920,Товары!$A$2:$A$200,0)),"нет в справочнике"))</f>
        <v/>
      </c>
      <c r="F920" s="6"/>
      <c r="G920" s="8" t="str">
        <f aca="false">IF(D920="","",IFERROR(INDEX(Товары!$C$2:$C$200,MATCH(D920,Товары!$A$2:$A$200,0)),0))</f>
        <v/>
      </c>
      <c r="H920" s="8" t="str">
        <f aca="false">IF(D920="","",F920*G920)</f>
        <v/>
      </c>
      <c r="I920" s="8" t="str">
        <f aca="false">IF(D920="","",F920*IFERROR(INDEX(Товары!$D$2:$D$200,MATCH(D920,Товары!$A$2:$A$200,0)),0))</f>
        <v/>
      </c>
      <c r="J920" s="8" t="str">
        <f aca="false">IF(D920="","",H920-I920)</f>
        <v/>
      </c>
      <c r="K920" s="7" t="str">
        <f aca="false">IF(A920="","",MONTH(A920))</f>
        <v/>
      </c>
      <c r="L920" s="7" t="str">
        <f aca="false">IF(A920="","",YEAR(A920))</f>
        <v/>
      </c>
      <c r="M920" s="9" t="str">
        <f aca="false">IF(B920="","",B920&amp;"|"&amp;COUNTIF(B$2:B920,B920))</f>
        <v/>
      </c>
    </row>
    <row r="921" customFormat="false" ht="15" hidden="false" customHeight="false" outlineLevel="0" collapsed="false">
      <c r="A921" s="5"/>
      <c r="B921" s="6"/>
      <c r="C921" s="6"/>
      <c r="D921" s="6"/>
      <c r="E921" s="7" t="str">
        <f aca="false">IF(D921="","",IFERROR(INDEX(Товары!$B$2:$B$200,MATCH(D921,Товары!$A$2:$A$200,0)),"нет в справочнике"))</f>
        <v/>
      </c>
      <c r="F921" s="6"/>
      <c r="G921" s="8" t="str">
        <f aca="false">IF(D921="","",IFERROR(INDEX(Товары!$C$2:$C$200,MATCH(D921,Товары!$A$2:$A$200,0)),0))</f>
        <v/>
      </c>
      <c r="H921" s="8" t="str">
        <f aca="false">IF(D921="","",F921*G921)</f>
        <v/>
      </c>
      <c r="I921" s="8" t="str">
        <f aca="false">IF(D921="","",F921*IFERROR(INDEX(Товары!$D$2:$D$200,MATCH(D921,Товары!$A$2:$A$200,0)),0))</f>
        <v/>
      </c>
      <c r="J921" s="8" t="str">
        <f aca="false">IF(D921="","",H921-I921)</f>
        <v/>
      </c>
      <c r="K921" s="7" t="str">
        <f aca="false">IF(A921="","",MONTH(A921))</f>
        <v/>
      </c>
      <c r="L921" s="7" t="str">
        <f aca="false">IF(A921="","",YEAR(A921))</f>
        <v/>
      </c>
      <c r="M921" s="9" t="str">
        <f aca="false">IF(B921="","",B921&amp;"|"&amp;COUNTIF(B$2:B921,B921))</f>
        <v/>
      </c>
    </row>
    <row r="922" customFormat="false" ht="15" hidden="false" customHeight="false" outlineLevel="0" collapsed="false">
      <c r="A922" s="5"/>
      <c r="B922" s="6"/>
      <c r="C922" s="6"/>
      <c r="D922" s="6"/>
      <c r="E922" s="7" t="str">
        <f aca="false">IF(D922="","",IFERROR(INDEX(Товары!$B$2:$B$200,MATCH(D922,Товары!$A$2:$A$200,0)),"нет в справочнике"))</f>
        <v/>
      </c>
      <c r="F922" s="6"/>
      <c r="G922" s="8" t="str">
        <f aca="false">IF(D922="","",IFERROR(INDEX(Товары!$C$2:$C$200,MATCH(D922,Товары!$A$2:$A$200,0)),0))</f>
        <v/>
      </c>
      <c r="H922" s="8" t="str">
        <f aca="false">IF(D922="","",F922*G922)</f>
        <v/>
      </c>
      <c r="I922" s="8" t="str">
        <f aca="false">IF(D922="","",F922*IFERROR(INDEX(Товары!$D$2:$D$200,MATCH(D922,Товары!$A$2:$A$200,0)),0))</f>
        <v/>
      </c>
      <c r="J922" s="8" t="str">
        <f aca="false">IF(D922="","",H922-I922)</f>
        <v/>
      </c>
      <c r="K922" s="7" t="str">
        <f aca="false">IF(A922="","",MONTH(A922))</f>
        <v/>
      </c>
      <c r="L922" s="7" t="str">
        <f aca="false">IF(A922="","",YEAR(A922))</f>
        <v/>
      </c>
      <c r="M922" s="9" t="str">
        <f aca="false">IF(B922="","",B922&amp;"|"&amp;COUNTIF(B$2:B922,B922))</f>
        <v/>
      </c>
    </row>
    <row r="923" customFormat="false" ht="15" hidden="false" customHeight="false" outlineLevel="0" collapsed="false">
      <c r="A923" s="5"/>
      <c r="B923" s="6"/>
      <c r="C923" s="6"/>
      <c r="D923" s="6"/>
      <c r="E923" s="7" t="str">
        <f aca="false">IF(D923="","",IFERROR(INDEX(Товары!$B$2:$B$200,MATCH(D923,Товары!$A$2:$A$200,0)),"нет в справочнике"))</f>
        <v/>
      </c>
      <c r="F923" s="6"/>
      <c r="G923" s="8" t="str">
        <f aca="false">IF(D923="","",IFERROR(INDEX(Товары!$C$2:$C$200,MATCH(D923,Товары!$A$2:$A$200,0)),0))</f>
        <v/>
      </c>
      <c r="H923" s="8" t="str">
        <f aca="false">IF(D923="","",F923*G923)</f>
        <v/>
      </c>
      <c r="I923" s="8" t="str">
        <f aca="false">IF(D923="","",F923*IFERROR(INDEX(Товары!$D$2:$D$200,MATCH(D923,Товары!$A$2:$A$200,0)),0))</f>
        <v/>
      </c>
      <c r="J923" s="8" t="str">
        <f aca="false">IF(D923="","",H923-I923)</f>
        <v/>
      </c>
      <c r="K923" s="7" t="str">
        <f aca="false">IF(A923="","",MONTH(A923))</f>
        <v/>
      </c>
      <c r="L923" s="7" t="str">
        <f aca="false">IF(A923="","",YEAR(A923))</f>
        <v/>
      </c>
      <c r="M923" s="9" t="str">
        <f aca="false">IF(B923="","",B923&amp;"|"&amp;COUNTIF(B$2:B923,B923))</f>
        <v/>
      </c>
    </row>
    <row r="924" customFormat="false" ht="15" hidden="false" customHeight="false" outlineLevel="0" collapsed="false">
      <c r="A924" s="5"/>
      <c r="B924" s="6"/>
      <c r="C924" s="6"/>
      <c r="D924" s="6"/>
      <c r="E924" s="7" t="str">
        <f aca="false">IF(D924="","",IFERROR(INDEX(Товары!$B$2:$B$200,MATCH(D924,Товары!$A$2:$A$200,0)),"нет в справочнике"))</f>
        <v/>
      </c>
      <c r="F924" s="6"/>
      <c r="G924" s="8" t="str">
        <f aca="false">IF(D924="","",IFERROR(INDEX(Товары!$C$2:$C$200,MATCH(D924,Товары!$A$2:$A$200,0)),0))</f>
        <v/>
      </c>
      <c r="H924" s="8" t="str">
        <f aca="false">IF(D924="","",F924*G924)</f>
        <v/>
      </c>
      <c r="I924" s="8" t="str">
        <f aca="false">IF(D924="","",F924*IFERROR(INDEX(Товары!$D$2:$D$200,MATCH(D924,Товары!$A$2:$A$200,0)),0))</f>
        <v/>
      </c>
      <c r="J924" s="8" t="str">
        <f aca="false">IF(D924="","",H924-I924)</f>
        <v/>
      </c>
      <c r="K924" s="7" t="str">
        <f aca="false">IF(A924="","",MONTH(A924))</f>
        <v/>
      </c>
      <c r="L924" s="7" t="str">
        <f aca="false">IF(A924="","",YEAR(A924))</f>
        <v/>
      </c>
      <c r="M924" s="9" t="str">
        <f aca="false">IF(B924="","",B924&amp;"|"&amp;COUNTIF(B$2:B924,B924))</f>
        <v/>
      </c>
    </row>
    <row r="925" customFormat="false" ht="15" hidden="false" customHeight="false" outlineLevel="0" collapsed="false">
      <c r="A925" s="5"/>
      <c r="B925" s="6"/>
      <c r="C925" s="6"/>
      <c r="D925" s="6"/>
      <c r="E925" s="7" t="str">
        <f aca="false">IF(D925="","",IFERROR(INDEX(Товары!$B$2:$B$200,MATCH(D925,Товары!$A$2:$A$200,0)),"нет в справочнике"))</f>
        <v/>
      </c>
      <c r="F925" s="6"/>
      <c r="G925" s="8" t="str">
        <f aca="false">IF(D925="","",IFERROR(INDEX(Товары!$C$2:$C$200,MATCH(D925,Товары!$A$2:$A$200,0)),0))</f>
        <v/>
      </c>
      <c r="H925" s="8" t="str">
        <f aca="false">IF(D925="","",F925*G925)</f>
        <v/>
      </c>
      <c r="I925" s="8" t="str">
        <f aca="false">IF(D925="","",F925*IFERROR(INDEX(Товары!$D$2:$D$200,MATCH(D925,Товары!$A$2:$A$200,0)),0))</f>
        <v/>
      </c>
      <c r="J925" s="8" t="str">
        <f aca="false">IF(D925="","",H925-I925)</f>
        <v/>
      </c>
      <c r="K925" s="7" t="str">
        <f aca="false">IF(A925="","",MONTH(A925))</f>
        <v/>
      </c>
      <c r="L925" s="7" t="str">
        <f aca="false">IF(A925="","",YEAR(A925))</f>
        <v/>
      </c>
      <c r="M925" s="9" t="str">
        <f aca="false">IF(B925="","",B925&amp;"|"&amp;COUNTIF(B$2:B925,B925))</f>
        <v/>
      </c>
    </row>
    <row r="926" customFormat="false" ht="15" hidden="false" customHeight="false" outlineLevel="0" collapsed="false">
      <c r="A926" s="5"/>
      <c r="B926" s="6"/>
      <c r="C926" s="6"/>
      <c r="D926" s="6"/>
      <c r="E926" s="7" t="str">
        <f aca="false">IF(D926="","",IFERROR(INDEX(Товары!$B$2:$B$200,MATCH(D926,Товары!$A$2:$A$200,0)),"нет в справочнике"))</f>
        <v/>
      </c>
      <c r="F926" s="6"/>
      <c r="G926" s="8" t="str">
        <f aca="false">IF(D926="","",IFERROR(INDEX(Товары!$C$2:$C$200,MATCH(D926,Товары!$A$2:$A$200,0)),0))</f>
        <v/>
      </c>
      <c r="H926" s="8" t="str">
        <f aca="false">IF(D926="","",F926*G926)</f>
        <v/>
      </c>
      <c r="I926" s="8" t="str">
        <f aca="false">IF(D926="","",F926*IFERROR(INDEX(Товары!$D$2:$D$200,MATCH(D926,Товары!$A$2:$A$200,0)),0))</f>
        <v/>
      </c>
      <c r="J926" s="8" t="str">
        <f aca="false">IF(D926="","",H926-I926)</f>
        <v/>
      </c>
      <c r="K926" s="7" t="str">
        <f aca="false">IF(A926="","",MONTH(A926))</f>
        <v/>
      </c>
      <c r="L926" s="7" t="str">
        <f aca="false">IF(A926="","",YEAR(A926))</f>
        <v/>
      </c>
      <c r="M926" s="9" t="str">
        <f aca="false">IF(B926="","",B926&amp;"|"&amp;COUNTIF(B$2:B926,B926))</f>
        <v/>
      </c>
    </row>
    <row r="927" customFormat="false" ht="15" hidden="false" customHeight="false" outlineLevel="0" collapsed="false">
      <c r="A927" s="5"/>
      <c r="B927" s="6"/>
      <c r="C927" s="6"/>
      <c r="D927" s="6"/>
      <c r="E927" s="7" t="str">
        <f aca="false">IF(D927="","",IFERROR(INDEX(Товары!$B$2:$B$200,MATCH(D927,Товары!$A$2:$A$200,0)),"нет в справочнике"))</f>
        <v/>
      </c>
      <c r="F927" s="6"/>
      <c r="G927" s="8" t="str">
        <f aca="false">IF(D927="","",IFERROR(INDEX(Товары!$C$2:$C$200,MATCH(D927,Товары!$A$2:$A$200,0)),0))</f>
        <v/>
      </c>
      <c r="H927" s="8" t="str">
        <f aca="false">IF(D927="","",F927*G927)</f>
        <v/>
      </c>
      <c r="I927" s="8" t="str">
        <f aca="false">IF(D927="","",F927*IFERROR(INDEX(Товары!$D$2:$D$200,MATCH(D927,Товары!$A$2:$A$200,0)),0))</f>
        <v/>
      </c>
      <c r="J927" s="8" t="str">
        <f aca="false">IF(D927="","",H927-I927)</f>
        <v/>
      </c>
      <c r="K927" s="7" t="str">
        <f aca="false">IF(A927="","",MONTH(A927))</f>
        <v/>
      </c>
      <c r="L927" s="7" t="str">
        <f aca="false">IF(A927="","",YEAR(A927))</f>
        <v/>
      </c>
      <c r="M927" s="9" t="str">
        <f aca="false">IF(B927="","",B927&amp;"|"&amp;COUNTIF(B$2:B927,B927))</f>
        <v/>
      </c>
    </row>
    <row r="928" customFormat="false" ht="15" hidden="false" customHeight="false" outlineLevel="0" collapsed="false">
      <c r="A928" s="5"/>
      <c r="B928" s="6"/>
      <c r="C928" s="6"/>
      <c r="D928" s="6"/>
      <c r="E928" s="7" t="str">
        <f aca="false">IF(D928="","",IFERROR(INDEX(Товары!$B$2:$B$200,MATCH(D928,Товары!$A$2:$A$200,0)),"нет в справочнике"))</f>
        <v/>
      </c>
      <c r="F928" s="6"/>
      <c r="G928" s="8" t="str">
        <f aca="false">IF(D928="","",IFERROR(INDEX(Товары!$C$2:$C$200,MATCH(D928,Товары!$A$2:$A$200,0)),0))</f>
        <v/>
      </c>
      <c r="H928" s="8" t="str">
        <f aca="false">IF(D928="","",F928*G928)</f>
        <v/>
      </c>
      <c r="I928" s="8" t="str">
        <f aca="false">IF(D928="","",F928*IFERROR(INDEX(Товары!$D$2:$D$200,MATCH(D928,Товары!$A$2:$A$200,0)),0))</f>
        <v/>
      </c>
      <c r="J928" s="8" t="str">
        <f aca="false">IF(D928="","",H928-I928)</f>
        <v/>
      </c>
      <c r="K928" s="7" t="str">
        <f aca="false">IF(A928="","",MONTH(A928))</f>
        <v/>
      </c>
      <c r="L928" s="7" t="str">
        <f aca="false">IF(A928="","",YEAR(A928))</f>
        <v/>
      </c>
      <c r="M928" s="9" t="str">
        <f aca="false">IF(B928="","",B928&amp;"|"&amp;COUNTIF(B$2:B928,B928))</f>
        <v/>
      </c>
    </row>
    <row r="929" customFormat="false" ht="15" hidden="false" customHeight="false" outlineLevel="0" collapsed="false">
      <c r="A929" s="5"/>
      <c r="B929" s="6"/>
      <c r="C929" s="6"/>
      <c r="D929" s="6"/>
      <c r="E929" s="7" t="str">
        <f aca="false">IF(D929="","",IFERROR(INDEX(Товары!$B$2:$B$200,MATCH(D929,Товары!$A$2:$A$200,0)),"нет в справочнике"))</f>
        <v/>
      </c>
      <c r="F929" s="6"/>
      <c r="G929" s="8" t="str">
        <f aca="false">IF(D929="","",IFERROR(INDEX(Товары!$C$2:$C$200,MATCH(D929,Товары!$A$2:$A$200,0)),0))</f>
        <v/>
      </c>
      <c r="H929" s="8" t="str">
        <f aca="false">IF(D929="","",F929*G929)</f>
        <v/>
      </c>
      <c r="I929" s="8" t="str">
        <f aca="false">IF(D929="","",F929*IFERROR(INDEX(Товары!$D$2:$D$200,MATCH(D929,Товары!$A$2:$A$200,0)),0))</f>
        <v/>
      </c>
      <c r="J929" s="8" t="str">
        <f aca="false">IF(D929="","",H929-I929)</f>
        <v/>
      </c>
      <c r="K929" s="7" t="str">
        <f aca="false">IF(A929="","",MONTH(A929))</f>
        <v/>
      </c>
      <c r="L929" s="7" t="str">
        <f aca="false">IF(A929="","",YEAR(A929))</f>
        <v/>
      </c>
      <c r="M929" s="9" t="str">
        <f aca="false">IF(B929="","",B929&amp;"|"&amp;COUNTIF(B$2:B929,B929))</f>
        <v/>
      </c>
    </row>
    <row r="930" customFormat="false" ht="15" hidden="false" customHeight="false" outlineLevel="0" collapsed="false">
      <c r="A930" s="5"/>
      <c r="B930" s="6"/>
      <c r="C930" s="6"/>
      <c r="D930" s="6"/>
      <c r="E930" s="7" t="str">
        <f aca="false">IF(D930="","",IFERROR(INDEX(Товары!$B$2:$B$200,MATCH(D930,Товары!$A$2:$A$200,0)),"нет в справочнике"))</f>
        <v/>
      </c>
      <c r="F930" s="6"/>
      <c r="G930" s="8" t="str">
        <f aca="false">IF(D930="","",IFERROR(INDEX(Товары!$C$2:$C$200,MATCH(D930,Товары!$A$2:$A$200,0)),0))</f>
        <v/>
      </c>
      <c r="H930" s="8" t="str">
        <f aca="false">IF(D930="","",F930*G930)</f>
        <v/>
      </c>
      <c r="I930" s="8" t="str">
        <f aca="false">IF(D930="","",F930*IFERROR(INDEX(Товары!$D$2:$D$200,MATCH(D930,Товары!$A$2:$A$200,0)),0))</f>
        <v/>
      </c>
      <c r="J930" s="8" t="str">
        <f aca="false">IF(D930="","",H930-I930)</f>
        <v/>
      </c>
      <c r="K930" s="7" t="str">
        <f aca="false">IF(A930="","",MONTH(A930))</f>
        <v/>
      </c>
      <c r="L930" s="7" t="str">
        <f aca="false">IF(A930="","",YEAR(A930))</f>
        <v/>
      </c>
      <c r="M930" s="9" t="str">
        <f aca="false">IF(B930="","",B930&amp;"|"&amp;COUNTIF(B$2:B930,B930))</f>
        <v/>
      </c>
    </row>
    <row r="931" customFormat="false" ht="15" hidden="false" customHeight="false" outlineLevel="0" collapsed="false">
      <c r="A931" s="5"/>
      <c r="B931" s="6"/>
      <c r="C931" s="6"/>
      <c r="D931" s="6"/>
      <c r="E931" s="7" t="str">
        <f aca="false">IF(D931="","",IFERROR(INDEX(Товары!$B$2:$B$200,MATCH(D931,Товары!$A$2:$A$200,0)),"нет в справочнике"))</f>
        <v/>
      </c>
      <c r="F931" s="6"/>
      <c r="G931" s="8" t="str">
        <f aca="false">IF(D931="","",IFERROR(INDEX(Товары!$C$2:$C$200,MATCH(D931,Товары!$A$2:$A$200,0)),0))</f>
        <v/>
      </c>
      <c r="H931" s="8" t="str">
        <f aca="false">IF(D931="","",F931*G931)</f>
        <v/>
      </c>
      <c r="I931" s="8" t="str">
        <f aca="false">IF(D931="","",F931*IFERROR(INDEX(Товары!$D$2:$D$200,MATCH(D931,Товары!$A$2:$A$200,0)),0))</f>
        <v/>
      </c>
      <c r="J931" s="8" t="str">
        <f aca="false">IF(D931="","",H931-I931)</f>
        <v/>
      </c>
      <c r="K931" s="7" t="str">
        <f aca="false">IF(A931="","",MONTH(A931))</f>
        <v/>
      </c>
      <c r="L931" s="7" t="str">
        <f aca="false">IF(A931="","",YEAR(A931))</f>
        <v/>
      </c>
      <c r="M931" s="9" t="str">
        <f aca="false">IF(B931="","",B931&amp;"|"&amp;COUNTIF(B$2:B931,B931))</f>
        <v/>
      </c>
    </row>
    <row r="932" customFormat="false" ht="15" hidden="false" customHeight="false" outlineLevel="0" collapsed="false">
      <c r="A932" s="5"/>
      <c r="B932" s="6"/>
      <c r="C932" s="6"/>
      <c r="D932" s="6"/>
      <c r="E932" s="7" t="str">
        <f aca="false">IF(D932="","",IFERROR(INDEX(Товары!$B$2:$B$200,MATCH(D932,Товары!$A$2:$A$200,0)),"нет в справочнике"))</f>
        <v/>
      </c>
      <c r="F932" s="6"/>
      <c r="G932" s="8" t="str">
        <f aca="false">IF(D932="","",IFERROR(INDEX(Товары!$C$2:$C$200,MATCH(D932,Товары!$A$2:$A$200,0)),0))</f>
        <v/>
      </c>
      <c r="H932" s="8" t="str">
        <f aca="false">IF(D932="","",F932*G932)</f>
        <v/>
      </c>
      <c r="I932" s="8" t="str">
        <f aca="false">IF(D932="","",F932*IFERROR(INDEX(Товары!$D$2:$D$200,MATCH(D932,Товары!$A$2:$A$200,0)),0))</f>
        <v/>
      </c>
      <c r="J932" s="8" t="str">
        <f aca="false">IF(D932="","",H932-I932)</f>
        <v/>
      </c>
      <c r="K932" s="7" t="str">
        <f aca="false">IF(A932="","",MONTH(A932))</f>
        <v/>
      </c>
      <c r="L932" s="7" t="str">
        <f aca="false">IF(A932="","",YEAR(A932))</f>
        <v/>
      </c>
      <c r="M932" s="9" t="str">
        <f aca="false">IF(B932="","",B932&amp;"|"&amp;COUNTIF(B$2:B932,B932))</f>
        <v/>
      </c>
    </row>
    <row r="933" customFormat="false" ht="15" hidden="false" customHeight="false" outlineLevel="0" collapsed="false">
      <c r="A933" s="5"/>
      <c r="B933" s="6"/>
      <c r="C933" s="6"/>
      <c r="D933" s="6"/>
      <c r="E933" s="7" t="str">
        <f aca="false">IF(D933="","",IFERROR(INDEX(Товары!$B$2:$B$200,MATCH(D933,Товары!$A$2:$A$200,0)),"нет в справочнике"))</f>
        <v/>
      </c>
      <c r="F933" s="6"/>
      <c r="G933" s="8" t="str">
        <f aca="false">IF(D933="","",IFERROR(INDEX(Товары!$C$2:$C$200,MATCH(D933,Товары!$A$2:$A$200,0)),0))</f>
        <v/>
      </c>
      <c r="H933" s="8" t="str">
        <f aca="false">IF(D933="","",F933*G933)</f>
        <v/>
      </c>
      <c r="I933" s="8" t="str">
        <f aca="false">IF(D933="","",F933*IFERROR(INDEX(Товары!$D$2:$D$200,MATCH(D933,Товары!$A$2:$A$200,0)),0))</f>
        <v/>
      </c>
      <c r="J933" s="8" t="str">
        <f aca="false">IF(D933="","",H933-I933)</f>
        <v/>
      </c>
      <c r="K933" s="7" t="str">
        <f aca="false">IF(A933="","",MONTH(A933))</f>
        <v/>
      </c>
      <c r="L933" s="7" t="str">
        <f aca="false">IF(A933="","",YEAR(A933))</f>
        <v/>
      </c>
      <c r="M933" s="9" t="str">
        <f aca="false">IF(B933="","",B933&amp;"|"&amp;COUNTIF(B$2:B933,B933))</f>
        <v/>
      </c>
    </row>
    <row r="934" customFormat="false" ht="15" hidden="false" customHeight="false" outlineLevel="0" collapsed="false">
      <c r="A934" s="5"/>
      <c r="B934" s="6"/>
      <c r="C934" s="6"/>
      <c r="D934" s="6"/>
      <c r="E934" s="7" t="str">
        <f aca="false">IF(D934="","",IFERROR(INDEX(Товары!$B$2:$B$200,MATCH(D934,Товары!$A$2:$A$200,0)),"нет в справочнике"))</f>
        <v/>
      </c>
      <c r="F934" s="6"/>
      <c r="G934" s="8" t="str">
        <f aca="false">IF(D934="","",IFERROR(INDEX(Товары!$C$2:$C$200,MATCH(D934,Товары!$A$2:$A$200,0)),0))</f>
        <v/>
      </c>
      <c r="H934" s="8" t="str">
        <f aca="false">IF(D934="","",F934*G934)</f>
        <v/>
      </c>
      <c r="I934" s="8" t="str">
        <f aca="false">IF(D934="","",F934*IFERROR(INDEX(Товары!$D$2:$D$200,MATCH(D934,Товары!$A$2:$A$200,0)),0))</f>
        <v/>
      </c>
      <c r="J934" s="8" t="str">
        <f aca="false">IF(D934="","",H934-I934)</f>
        <v/>
      </c>
      <c r="K934" s="7" t="str">
        <f aca="false">IF(A934="","",MONTH(A934))</f>
        <v/>
      </c>
      <c r="L934" s="7" t="str">
        <f aca="false">IF(A934="","",YEAR(A934))</f>
        <v/>
      </c>
      <c r="M934" s="9" t="str">
        <f aca="false">IF(B934="","",B934&amp;"|"&amp;COUNTIF(B$2:B934,B934))</f>
        <v/>
      </c>
    </row>
    <row r="935" customFormat="false" ht="15" hidden="false" customHeight="false" outlineLevel="0" collapsed="false">
      <c r="A935" s="5"/>
      <c r="B935" s="6"/>
      <c r="C935" s="6"/>
      <c r="D935" s="6"/>
      <c r="E935" s="7" t="str">
        <f aca="false">IF(D935="","",IFERROR(INDEX(Товары!$B$2:$B$200,MATCH(D935,Товары!$A$2:$A$200,0)),"нет в справочнике"))</f>
        <v/>
      </c>
      <c r="F935" s="6"/>
      <c r="G935" s="8" t="str">
        <f aca="false">IF(D935="","",IFERROR(INDEX(Товары!$C$2:$C$200,MATCH(D935,Товары!$A$2:$A$200,0)),0))</f>
        <v/>
      </c>
      <c r="H935" s="8" t="str">
        <f aca="false">IF(D935="","",F935*G935)</f>
        <v/>
      </c>
      <c r="I935" s="8" t="str">
        <f aca="false">IF(D935="","",F935*IFERROR(INDEX(Товары!$D$2:$D$200,MATCH(D935,Товары!$A$2:$A$200,0)),0))</f>
        <v/>
      </c>
      <c r="J935" s="8" t="str">
        <f aca="false">IF(D935="","",H935-I935)</f>
        <v/>
      </c>
      <c r="K935" s="7" t="str">
        <f aca="false">IF(A935="","",MONTH(A935))</f>
        <v/>
      </c>
      <c r="L935" s="7" t="str">
        <f aca="false">IF(A935="","",YEAR(A935))</f>
        <v/>
      </c>
      <c r="M935" s="9" t="str">
        <f aca="false">IF(B935="","",B935&amp;"|"&amp;COUNTIF(B$2:B935,B935))</f>
        <v/>
      </c>
    </row>
    <row r="936" customFormat="false" ht="15" hidden="false" customHeight="false" outlineLevel="0" collapsed="false">
      <c r="A936" s="5"/>
      <c r="B936" s="6"/>
      <c r="C936" s="6"/>
      <c r="D936" s="6"/>
      <c r="E936" s="7" t="str">
        <f aca="false">IF(D936="","",IFERROR(INDEX(Товары!$B$2:$B$200,MATCH(D936,Товары!$A$2:$A$200,0)),"нет в справочнике"))</f>
        <v/>
      </c>
      <c r="F936" s="6"/>
      <c r="G936" s="8" t="str">
        <f aca="false">IF(D936="","",IFERROR(INDEX(Товары!$C$2:$C$200,MATCH(D936,Товары!$A$2:$A$200,0)),0))</f>
        <v/>
      </c>
      <c r="H936" s="8" t="str">
        <f aca="false">IF(D936="","",F936*G936)</f>
        <v/>
      </c>
      <c r="I936" s="8" t="str">
        <f aca="false">IF(D936="","",F936*IFERROR(INDEX(Товары!$D$2:$D$200,MATCH(D936,Товары!$A$2:$A$200,0)),0))</f>
        <v/>
      </c>
      <c r="J936" s="8" t="str">
        <f aca="false">IF(D936="","",H936-I936)</f>
        <v/>
      </c>
      <c r="K936" s="7" t="str">
        <f aca="false">IF(A936="","",MONTH(A936))</f>
        <v/>
      </c>
      <c r="L936" s="7" t="str">
        <f aca="false">IF(A936="","",YEAR(A936))</f>
        <v/>
      </c>
      <c r="M936" s="9" t="str">
        <f aca="false">IF(B936="","",B936&amp;"|"&amp;COUNTIF(B$2:B936,B936))</f>
        <v/>
      </c>
    </row>
    <row r="937" customFormat="false" ht="15" hidden="false" customHeight="false" outlineLevel="0" collapsed="false">
      <c r="A937" s="5"/>
      <c r="B937" s="6"/>
      <c r="C937" s="6"/>
      <c r="D937" s="6"/>
      <c r="E937" s="7" t="str">
        <f aca="false">IF(D937="","",IFERROR(INDEX(Товары!$B$2:$B$200,MATCH(D937,Товары!$A$2:$A$200,0)),"нет в справочнике"))</f>
        <v/>
      </c>
      <c r="F937" s="6"/>
      <c r="G937" s="8" t="str">
        <f aca="false">IF(D937="","",IFERROR(INDEX(Товары!$C$2:$C$200,MATCH(D937,Товары!$A$2:$A$200,0)),0))</f>
        <v/>
      </c>
      <c r="H937" s="8" t="str">
        <f aca="false">IF(D937="","",F937*G937)</f>
        <v/>
      </c>
      <c r="I937" s="8" t="str">
        <f aca="false">IF(D937="","",F937*IFERROR(INDEX(Товары!$D$2:$D$200,MATCH(D937,Товары!$A$2:$A$200,0)),0))</f>
        <v/>
      </c>
      <c r="J937" s="8" t="str">
        <f aca="false">IF(D937="","",H937-I937)</f>
        <v/>
      </c>
      <c r="K937" s="7" t="str">
        <f aca="false">IF(A937="","",MONTH(A937))</f>
        <v/>
      </c>
      <c r="L937" s="7" t="str">
        <f aca="false">IF(A937="","",YEAR(A937))</f>
        <v/>
      </c>
      <c r="M937" s="9" t="str">
        <f aca="false">IF(B937="","",B937&amp;"|"&amp;COUNTIF(B$2:B937,B937))</f>
        <v/>
      </c>
    </row>
    <row r="938" customFormat="false" ht="15" hidden="false" customHeight="false" outlineLevel="0" collapsed="false">
      <c r="A938" s="5"/>
      <c r="B938" s="6"/>
      <c r="C938" s="6"/>
      <c r="D938" s="6"/>
      <c r="E938" s="7" t="str">
        <f aca="false">IF(D938="","",IFERROR(INDEX(Товары!$B$2:$B$200,MATCH(D938,Товары!$A$2:$A$200,0)),"нет в справочнике"))</f>
        <v/>
      </c>
      <c r="F938" s="6"/>
      <c r="G938" s="8" t="str">
        <f aca="false">IF(D938="","",IFERROR(INDEX(Товары!$C$2:$C$200,MATCH(D938,Товары!$A$2:$A$200,0)),0))</f>
        <v/>
      </c>
      <c r="H938" s="8" t="str">
        <f aca="false">IF(D938="","",F938*G938)</f>
        <v/>
      </c>
      <c r="I938" s="8" t="str">
        <f aca="false">IF(D938="","",F938*IFERROR(INDEX(Товары!$D$2:$D$200,MATCH(D938,Товары!$A$2:$A$200,0)),0))</f>
        <v/>
      </c>
      <c r="J938" s="8" t="str">
        <f aca="false">IF(D938="","",H938-I938)</f>
        <v/>
      </c>
      <c r="K938" s="7" t="str">
        <f aca="false">IF(A938="","",MONTH(A938))</f>
        <v/>
      </c>
      <c r="L938" s="7" t="str">
        <f aca="false">IF(A938="","",YEAR(A938))</f>
        <v/>
      </c>
      <c r="M938" s="9" t="str">
        <f aca="false">IF(B938="","",B938&amp;"|"&amp;COUNTIF(B$2:B938,B938))</f>
        <v/>
      </c>
    </row>
    <row r="939" customFormat="false" ht="15" hidden="false" customHeight="false" outlineLevel="0" collapsed="false">
      <c r="A939" s="5"/>
      <c r="B939" s="6"/>
      <c r="C939" s="6"/>
      <c r="D939" s="6"/>
      <c r="E939" s="7" t="str">
        <f aca="false">IF(D939="","",IFERROR(INDEX(Товары!$B$2:$B$200,MATCH(D939,Товары!$A$2:$A$200,0)),"нет в справочнике"))</f>
        <v/>
      </c>
      <c r="F939" s="6"/>
      <c r="G939" s="8" t="str">
        <f aca="false">IF(D939="","",IFERROR(INDEX(Товары!$C$2:$C$200,MATCH(D939,Товары!$A$2:$A$200,0)),0))</f>
        <v/>
      </c>
      <c r="H939" s="8" t="str">
        <f aca="false">IF(D939="","",F939*G939)</f>
        <v/>
      </c>
      <c r="I939" s="8" t="str">
        <f aca="false">IF(D939="","",F939*IFERROR(INDEX(Товары!$D$2:$D$200,MATCH(D939,Товары!$A$2:$A$200,0)),0))</f>
        <v/>
      </c>
      <c r="J939" s="8" t="str">
        <f aca="false">IF(D939="","",H939-I939)</f>
        <v/>
      </c>
      <c r="K939" s="7" t="str">
        <f aca="false">IF(A939="","",MONTH(A939))</f>
        <v/>
      </c>
      <c r="L939" s="7" t="str">
        <f aca="false">IF(A939="","",YEAR(A939))</f>
        <v/>
      </c>
      <c r="M939" s="9" t="str">
        <f aca="false">IF(B939="","",B939&amp;"|"&amp;COUNTIF(B$2:B939,B939))</f>
        <v/>
      </c>
    </row>
    <row r="940" customFormat="false" ht="15" hidden="false" customHeight="false" outlineLevel="0" collapsed="false">
      <c r="A940" s="5"/>
      <c r="B940" s="6"/>
      <c r="C940" s="6"/>
      <c r="D940" s="6"/>
      <c r="E940" s="7" t="str">
        <f aca="false">IF(D940="","",IFERROR(INDEX(Товары!$B$2:$B$200,MATCH(D940,Товары!$A$2:$A$200,0)),"нет в справочнике"))</f>
        <v/>
      </c>
      <c r="F940" s="6"/>
      <c r="G940" s="8" t="str">
        <f aca="false">IF(D940="","",IFERROR(INDEX(Товары!$C$2:$C$200,MATCH(D940,Товары!$A$2:$A$200,0)),0))</f>
        <v/>
      </c>
      <c r="H940" s="8" t="str">
        <f aca="false">IF(D940="","",F940*G940)</f>
        <v/>
      </c>
      <c r="I940" s="8" t="str">
        <f aca="false">IF(D940="","",F940*IFERROR(INDEX(Товары!$D$2:$D$200,MATCH(D940,Товары!$A$2:$A$200,0)),0))</f>
        <v/>
      </c>
      <c r="J940" s="8" t="str">
        <f aca="false">IF(D940="","",H940-I940)</f>
        <v/>
      </c>
      <c r="K940" s="7" t="str">
        <f aca="false">IF(A940="","",MONTH(A940))</f>
        <v/>
      </c>
      <c r="L940" s="7" t="str">
        <f aca="false">IF(A940="","",YEAR(A940))</f>
        <v/>
      </c>
      <c r="M940" s="9" t="str">
        <f aca="false">IF(B940="","",B940&amp;"|"&amp;COUNTIF(B$2:B940,B940))</f>
        <v/>
      </c>
    </row>
    <row r="941" customFormat="false" ht="15" hidden="false" customHeight="false" outlineLevel="0" collapsed="false">
      <c r="A941" s="5"/>
      <c r="B941" s="6"/>
      <c r="C941" s="6"/>
      <c r="D941" s="6"/>
      <c r="E941" s="7" t="str">
        <f aca="false">IF(D941="","",IFERROR(INDEX(Товары!$B$2:$B$200,MATCH(D941,Товары!$A$2:$A$200,0)),"нет в справочнике"))</f>
        <v/>
      </c>
      <c r="F941" s="6"/>
      <c r="G941" s="8" t="str">
        <f aca="false">IF(D941="","",IFERROR(INDEX(Товары!$C$2:$C$200,MATCH(D941,Товары!$A$2:$A$200,0)),0))</f>
        <v/>
      </c>
      <c r="H941" s="8" t="str">
        <f aca="false">IF(D941="","",F941*G941)</f>
        <v/>
      </c>
      <c r="I941" s="8" t="str">
        <f aca="false">IF(D941="","",F941*IFERROR(INDEX(Товары!$D$2:$D$200,MATCH(D941,Товары!$A$2:$A$200,0)),0))</f>
        <v/>
      </c>
      <c r="J941" s="8" t="str">
        <f aca="false">IF(D941="","",H941-I941)</f>
        <v/>
      </c>
      <c r="K941" s="7" t="str">
        <f aca="false">IF(A941="","",MONTH(A941))</f>
        <v/>
      </c>
      <c r="L941" s="7" t="str">
        <f aca="false">IF(A941="","",YEAR(A941))</f>
        <v/>
      </c>
      <c r="M941" s="9" t="str">
        <f aca="false">IF(B941="","",B941&amp;"|"&amp;COUNTIF(B$2:B941,B941))</f>
        <v/>
      </c>
    </row>
    <row r="942" customFormat="false" ht="15" hidden="false" customHeight="false" outlineLevel="0" collapsed="false">
      <c r="A942" s="5"/>
      <c r="B942" s="6"/>
      <c r="C942" s="6"/>
      <c r="D942" s="6"/>
      <c r="E942" s="7" t="str">
        <f aca="false">IF(D942="","",IFERROR(INDEX(Товары!$B$2:$B$200,MATCH(D942,Товары!$A$2:$A$200,0)),"нет в справочнике"))</f>
        <v/>
      </c>
      <c r="F942" s="6"/>
      <c r="G942" s="8" t="str">
        <f aca="false">IF(D942="","",IFERROR(INDEX(Товары!$C$2:$C$200,MATCH(D942,Товары!$A$2:$A$200,0)),0))</f>
        <v/>
      </c>
      <c r="H942" s="8" t="str">
        <f aca="false">IF(D942="","",F942*G942)</f>
        <v/>
      </c>
      <c r="I942" s="8" t="str">
        <f aca="false">IF(D942="","",F942*IFERROR(INDEX(Товары!$D$2:$D$200,MATCH(D942,Товары!$A$2:$A$200,0)),0))</f>
        <v/>
      </c>
      <c r="J942" s="8" t="str">
        <f aca="false">IF(D942="","",H942-I942)</f>
        <v/>
      </c>
      <c r="K942" s="7" t="str">
        <f aca="false">IF(A942="","",MONTH(A942))</f>
        <v/>
      </c>
      <c r="L942" s="7" t="str">
        <f aca="false">IF(A942="","",YEAR(A942))</f>
        <v/>
      </c>
      <c r="M942" s="9" t="str">
        <f aca="false">IF(B942="","",B942&amp;"|"&amp;COUNTIF(B$2:B942,B942))</f>
        <v/>
      </c>
    </row>
    <row r="943" customFormat="false" ht="15" hidden="false" customHeight="false" outlineLevel="0" collapsed="false">
      <c r="A943" s="5"/>
      <c r="B943" s="6"/>
      <c r="C943" s="6"/>
      <c r="D943" s="6"/>
      <c r="E943" s="7" t="str">
        <f aca="false">IF(D943="","",IFERROR(INDEX(Товары!$B$2:$B$200,MATCH(D943,Товары!$A$2:$A$200,0)),"нет в справочнике"))</f>
        <v/>
      </c>
      <c r="F943" s="6"/>
      <c r="G943" s="8" t="str">
        <f aca="false">IF(D943="","",IFERROR(INDEX(Товары!$C$2:$C$200,MATCH(D943,Товары!$A$2:$A$200,0)),0))</f>
        <v/>
      </c>
      <c r="H943" s="8" t="str">
        <f aca="false">IF(D943="","",F943*G943)</f>
        <v/>
      </c>
      <c r="I943" s="8" t="str">
        <f aca="false">IF(D943="","",F943*IFERROR(INDEX(Товары!$D$2:$D$200,MATCH(D943,Товары!$A$2:$A$200,0)),0))</f>
        <v/>
      </c>
      <c r="J943" s="8" t="str">
        <f aca="false">IF(D943="","",H943-I943)</f>
        <v/>
      </c>
      <c r="K943" s="7" t="str">
        <f aca="false">IF(A943="","",MONTH(A943))</f>
        <v/>
      </c>
      <c r="L943" s="7" t="str">
        <f aca="false">IF(A943="","",YEAR(A943))</f>
        <v/>
      </c>
      <c r="M943" s="9" t="str">
        <f aca="false">IF(B943="","",B943&amp;"|"&amp;COUNTIF(B$2:B943,B943))</f>
        <v/>
      </c>
    </row>
    <row r="944" customFormat="false" ht="15" hidden="false" customHeight="false" outlineLevel="0" collapsed="false">
      <c r="A944" s="5"/>
      <c r="B944" s="6"/>
      <c r="C944" s="6"/>
      <c r="D944" s="6"/>
      <c r="E944" s="7" t="str">
        <f aca="false">IF(D944="","",IFERROR(INDEX(Товары!$B$2:$B$200,MATCH(D944,Товары!$A$2:$A$200,0)),"нет в справочнике"))</f>
        <v/>
      </c>
      <c r="F944" s="6"/>
      <c r="G944" s="8" t="str">
        <f aca="false">IF(D944="","",IFERROR(INDEX(Товары!$C$2:$C$200,MATCH(D944,Товары!$A$2:$A$200,0)),0))</f>
        <v/>
      </c>
      <c r="H944" s="8" t="str">
        <f aca="false">IF(D944="","",F944*G944)</f>
        <v/>
      </c>
      <c r="I944" s="8" t="str">
        <f aca="false">IF(D944="","",F944*IFERROR(INDEX(Товары!$D$2:$D$200,MATCH(D944,Товары!$A$2:$A$200,0)),0))</f>
        <v/>
      </c>
      <c r="J944" s="8" t="str">
        <f aca="false">IF(D944="","",H944-I944)</f>
        <v/>
      </c>
      <c r="K944" s="7" t="str">
        <f aca="false">IF(A944="","",MONTH(A944))</f>
        <v/>
      </c>
      <c r="L944" s="7" t="str">
        <f aca="false">IF(A944="","",YEAR(A944))</f>
        <v/>
      </c>
      <c r="M944" s="9" t="str">
        <f aca="false">IF(B944="","",B944&amp;"|"&amp;COUNTIF(B$2:B944,B944))</f>
        <v/>
      </c>
    </row>
    <row r="945" customFormat="false" ht="15" hidden="false" customHeight="false" outlineLevel="0" collapsed="false">
      <c r="A945" s="5"/>
      <c r="B945" s="6"/>
      <c r="C945" s="6"/>
      <c r="D945" s="6"/>
      <c r="E945" s="7" t="str">
        <f aca="false">IF(D945="","",IFERROR(INDEX(Товары!$B$2:$B$200,MATCH(D945,Товары!$A$2:$A$200,0)),"нет в справочнике"))</f>
        <v/>
      </c>
      <c r="F945" s="6"/>
      <c r="G945" s="8" t="str">
        <f aca="false">IF(D945="","",IFERROR(INDEX(Товары!$C$2:$C$200,MATCH(D945,Товары!$A$2:$A$200,0)),0))</f>
        <v/>
      </c>
      <c r="H945" s="8" t="str">
        <f aca="false">IF(D945="","",F945*G945)</f>
        <v/>
      </c>
      <c r="I945" s="8" t="str">
        <f aca="false">IF(D945="","",F945*IFERROR(INDEX(Товары!$D$2:$D$200,MATCH(D945,Товары!$A$2:$A$200,0)),0))</f>
        <v/>
      </c>
      <c r="J945" s="8" t="str">
        <f aca="false">IF(D945="","",H945-I945)</f>
        <v/>
      </c>
      <c r="K945" s="7" t="str">
        <f aca="false">IF(A945="","",MONTH(A945))</f>
        <v/>
      </c>
      <c r="L945" s="7" t="str">
        <f aca="false">IF(A945="","",YEAR(A945))</f>
        <v/>
      </c>
      <c r="M945" s="9" t="str">
        <f aca="false">IF(B945="","",B945&amp;"|"&amp;COUNTIF(B$2:B945,B945))</f>
        <v/>
      </c>
    </row>
    <row r="946" customFormat="false" ht="15" hidden="false" customHeight="false" outlineLevel="0" collapsed="false">
      <c r="A946" s="5"/>
      <c r="B946" s="6"/>
      <c r="C946" s="6"/>
      <c r="D946" s="6"/>
      <c r="E946" s="7" t="str">
        <f aca="false">IF(D946="","",IFERROR(INDEX(Товары!$B$2:$B$200,MATCH(D946,Товары!$A$2:$A$200,0)),"нет в справочнике"))</f>
        <v/>
      </c>
      <c r="F946" s="6"/>
      <c r="G946" s="8" t="str">
        <f aca="false">IF(D946="","",IFERROR(INDEX(Товары!$C$2:$C$200,MATCH(D946,Товары!$A$2:$A$200,0)),0))</f>
        <v/>
      </c>
      <c r="H946" s="8" t="str">
        <f aca="false">IF(D946="","",F946*G946)</f>
        <v/>
      </c>
      <c r="I946" s="8" t="str">
        <f aca="false">IF(D946="","",F946*IFERROR(INDEX(Товары!$D$2:$D$200,MATCH(D946,Товары!$A$2:$A$200,0)),0))</f>
        <v/>
      </c>
      <c r="J946" s="8" t="str">
        <f aca="false">IF(D946="","",H946-I946)</f>
        <v/>
      </c>
      <c r="K946" s="7" t="str">
        <f aca="false">IF(A946="","",MONTH(A946))</f>
        <v/>
      </c>
      <c r="L946" s="7" t="str">
        <f aca="false">IF(A946="","",YEAR(A946))</f>
        <v/>
      </c>
      <c r="M946" s="9" t="str">
        <f aca="false">IF(B946="","",B946&amp;"|"&amp;COUNTIF(B$2:B946,B946))</f>
        <v/>
      </c>
    </row>
    <row r="947" customFormat="false" ht="15" hidden="false" customHeight="false" outlineLevel="0" collapsed="false">
      <c r="A947" s="5"/>
      <c r="B947" s="6"/>
      <c r="C947" s="6"/>
      <c r="D947" s="6"/>
      <c r="E947" s="7" t="str">
        <f aca="false">IF(D947="","",IFERROR(INDEX(Товары!$B$2:$B$200,MATCH(D947,Товары!$A$2:$A$200,0)),"нет в справочнике"))</f>
        <v/>
      </c>
      <c r="F947" s="6"/>
      <c r="G947" s="8" t="str">
        <f aca="false">IF(D947="","",IFERROR(INDEX(Товары!$C$2:$C$200,MATCH(D947,Товары!$A$2:$A$200,0)),0))</f>
        <v/>
      </c>
      <c r="H947" s="8" t="str">
        <f aca="false">IF(D947="","",F947*G947)</f>
        <v/>
      </c>
      <c r="I947" s="8" t="str">
        <f aca="false">IF(D947="","",F947*IFERROR(INDEX(Товары!$D$2:$D$200,MATCH(D947,Товары!$A$2:$A$200,0)),0))</f>
        <v/>
      </c>
      <c r="J947" s="8" t="str">
        <f aca="false">IF(D947="","",H947-I947)</f>
        <v/>
      </c>
      <c r="K947" s="7" t="str">
        <f aca="false">IF(A947="","",MONTH(A947))</f>
        <v/>
      </c>
      <c r="L947" s="7" t="str">
        <f aca="false">IF(A947="","",YEAR(A947))</f>
        <v/>
      </c>
      <c r="M947" s="9" t="str">
        <f aca="false">IF(B947="","",B947&amp;"|"&amp;COUNTIF(B$2:B947,B947))</f>
        <v/>
      </c>
    </row>
    <row r="948" customFormat="false" ht="15" hidden="false" customHeight="false" outlineLevel="0" collapsed="false">
      <c r="A948" s="5"/>
      <c r="B948" s="6"/>
      <c r="C948" s="6"/>
      <c r="D948" s="6"/>
      <c r="E948" s="7" t="str">
        <f aca="false">IF(D948="","",IFERROR(INDEX(Товары!$B$2:$B$200,MATCH(D948,Товары!$A$2:$A$200,0)),"нет в справочнике"))</f>
        <v/>
      </c>
      <c r="F948" s="6"/>
      <c r="G948" s="8" t="str">
        <f aca="false">IF(D948="","",IFERROR(INDEX(Товары!$C$2:$C$200,MATCH(D948,Товары!$A$2:$A$200,0)),0))</f>
        <v/>
      </c>
      <c r="H948" s="8" t="str">
        <f aca="false">IF(D948="","",F948*G948)</f>
        <v/>
      </c>
      <c r="I948" s="8" t="str">
        <f aca="false">IF(D948="","",F948*IFERROR(INDEX(Товары!$D$2:$D$200,MATCH(D948,Товары!$A$2:$A$200,0)),0))</f>
        <v/>
      </c>
      <c r="J948" s="8" t="str">
        <f aca="false">IF(D948="","",H948-I948)</f>
        <v/>
      </c>
      <c r="K948" s="7" t="str">
        <f aca="false">IF(A948="","",MONTH(A948))</f>
        <v/>
      </c>
      <c r="L948" s="7" t="str">
        <f aca="false">IF(A948="","",YEAR(A948))</f>
        <v/>
      </c>
      <c r="M948" s="9" t="str">
        <f aca="false">IF(B948="","",B948&amp;"|"&amp;COUNTIF(B$2:B948,B948))</f>
        <v/>
      </c>
    </row>
    <row r="949" customFormat="false" ht="15" hidden="false" customHeight="false" outlineLevel="0" collapsed="false">
      <c r="A949" s="5"/>
      <c r="B949" s="6"/>
      <c r="C949" s="6"/>
      <c r="D949" s="6"/>
      <c r="E949" s="7" t="str">
        <f aca="false">IF(D949="","",IFERROR(INDEX(Товары!$B$2:$B$200,MATCH(D949,Товары!$A$2:$A$200,0)),"нет в справочнике"))</f>
        <v/>
      </c>
      <c r="F949" s="6"/>
      <c r="G949" s="8" t="str">
        <f aca="false">IF(D949="","",IFERROR(INDEX(Товары!$C$2:$C$200,MATCH(D949,Товары!$A$2:$A$200,0)),0))</f>
        <v/>
      </c>
      <c r="H949" s="8" t="str">
        <f aca="false">IF(D949="","",F949*G949)</f>
        <v/>
      </c>
      <c r="I949" s="8" t="str">
        <f aca="false">IF(D949="","",F949*IFERROR(INDEX(Товары!$D$2:$D$200,MATCH(D949,Товары!$A$2:$A$200,0)),0))</f>
        <v/>
      </c>
      <c r="J949" s="8" t="str">
        <f aca="false">IF(D949="","",H949-I949)</f>
        <v/>
      </c>
      <c r="K949" s="7" t="str">
        <f aca="false">IF(A949="","",MONTH(A949))</f>
        <v/>
      </c>
      <c r="L949" s="7" t="str">
        <f aca="false">IF(A949="","",YEAR(A949))</f>
        <v/>
      </c>
      <c r="M949" s="9" t="str">
        <f aca="false">IF(B949="","",B949&amp;"|"&amp;COUNTIF(B$2:B949,B949))</f>
        <v/>
      </c>
    </row>
    <row r="950" customFormat="false" ht="15" hidden="false" customHeight="false" outlineLevel="0" collapsed="false">
      <c r="A950" s="5"/>
      <c r="B950" s="6"/>
      <c r="C950" s="6"/>
      <c r="D950" s="6"/>
      <c r="E950" s="7" t="str">
        <f aca="false">IF(D950="","",IFERROR(INDEX(Товары!$B$2:$B$200,MATCH(D950,Товары!$A$2:$A$200,0)),"нет в справочнике"))</f>
        <v/>
      </c>
      <c r="F950" s="6"/>
      <c r="G950" s="8" t="str">
        <f aca="false">IF(D950="","",IFERROR(INDEX(Товары!$C$2:$C$200,MATCH(D950,Товары!$A$2:$A$200,0)),0))</f>
        <v/>
      </c>
      <c r="H950" s="8" t="str">
        <f aca="false">IF(D950="","",F950*G950)</f>
        <v/>
      </c>
      <c r="I950" s="8" t="str">
        <f aca="false">IF(D950="","",F950*IFERROR(INDEX(Товары!$D$2:$D$200,MATCH(D950,Товары!$A$2:$A$200,0)),0))</f>
        <v/>
      </c>
      <c r="J950" s="8" t="str">
        <f aca="false">IF(D950="","",H950-I950)</f>
        <v/>
      </c>
      <c r="K950" s="7" t="str">
        <f aca="false">IF(A950="","",MONTH(A950))</f>
        <v/>
      </c>
      <c r="L950" s="7" t="str">
        <f aca="false">IF(A950="","",YEAR(A950))</f>
        <v/>
      </c>
      <c r="M950" s="9" t="str">
        <f aca="false">IF(B950="","",B950&amp;"|"&amp;COUNTIF(B$2:B950,B950))</f>
        <v/>
      </c>
    </row>
    <row r="951" customFormat="false" ht="15" hidden="false" customHeight="false" outlineLevel="0" collapsed="false">
      <c r="A951" s="5"/>
      <c r="B951" s="6"/>
      <c r="C951" s="6"/>
      <c r="D951" s="6"/>
      <c r="E951" s="7" t="str">
        <f aca="false">IF(D951="","",IFERROR(INDEX(Товары!$B$2:$B$200,MATCH(D951,Товары!$A$2:$A$200,0)),"нет в справочнике"))</f>
        <v/>
      </c>
      <c r="F951" s="6"/>
      <c r="G951" s="8" t="str">
        <f aca="false">IF(D951="","",IFERROR(INDEX(Товары!$C$2:$C$200,MATCH(D951,Товары!$A$2:$A$200,0)),0))</f>
        <v/>
      </c>
      <c r="H951" s="8" t="str">
        <f aca="false">IF(D951="","",F951*G951)</f>
        <v/>
      </c>
      <c r="I951" s="8" t="str">
        <f aca="false">IF(D951="","",F951*IFERROR(INDEX(Товары!$D$2:$D$200,MATCH(D951,Товары!$A$2:$A$200,0)),0))</f>
        <v/>
      </c>
      <c r="J951" s="8" t="str">
        <f aca="false">IF(D951="","",H951-I951)</f>
        <v/>
      </c>
      <c r="K951" s="7" t="str">
        <f aca="false">IF(A951="","",MONTH(A951))</f>
        <v/>
      </c>
      <c r="L951" s="7" t="str">
        <f aca="false">IF(A951="","",YEAR(A951))</f>
        <v/>
      </c>
      <c r="M951" s="9" t="str">
        <f aca="false">IF(B951="","",B951&amp;"|"&amp;COUNTIF(B$2:B951,B951))</f>
        <v/>
      </c>
    </row>
    <row r="952" customFormat="false" ht="15" hidden="false" customHeight="false" outlineLevel="0" collapsed="false">
      <c r="A952" s="5"/>
      <c r="B952" s="6"/>
      <c r="C952" s="6"/>
      <c r="D952" s="6"/>
      <c r="E952" s="7" t="str">
        <f aca="false">IF(D952="","",IFERROR(INDEX(Товары!$B$2:$B$200,MATCH(D952,Товары!$A$2:$A$200,0)),"нет в справочнике"))</f>
        <v/>
      </c>
      <c r="F952" s="6"/>
      <c r="G952" s="8" t="str">
        <f aca="false">IF(D952="","",IFERROR(INDEX(Товары!$C$2:$C$200,MATCH(D952,Товары!$A$2:$A$200,0)),0))</f>
        <v/>
      </c>
      <c r="H952" s="8" t="str">
        <f aca="false">IF(D952="","",F952*G952)</f>
        <v/>
      </c>
      <c r="I952" s="8" t="str">
        <f aca="false">IF(D952="","",F952*IFERROR(INDEX(Товары!$D$2:$D$200,MATCH(D952,Товары!$A$2:$A$200,0)),0))</f>
        <v/>
      </c>
      <c r="J952" s="8" t="str">
        <f aca="false">IF(D952="","",H952-I952)</f>
        <v/>
      </c>
      <c r="K952" s="7" t="str">
        <f aca="false">IF(A952="","",MONTH(A952))</f>
        <v/>
      </c>
      <c r="L952" s="7" t="str">
        <f aca="false">IF(A952="","",YEAR(A952))</f>
        <v/>
      </c>
      <c r="M952" s="9" t="str">
        <f aca="false">IF(B952="","",B952&amp;"|"&amp;COUNTIF(B$2:B952,B952))</f>
        <v/>
      </c>
    </row>
    <row r="953" customFormat="false" ht="15" hidden="false" customHeight="false" outlineLevel="0" collapsed="false">
      <c r="A953" s="5"/>
      <c r="B953" s="6"/>
      <c r="C953" s="6"/>
      <c r="D953" s="6"/>
      <c r="E953" s="7" t="str">
        <f aca="false">IF(D953="","",IFERROR(INDEX(Товары!$B$2:$B$200,MATCH(D953,Товары!$A$2:$A$200,0)),"нет в справочнике"))</f>
        <v/>
      </c>
      <c r="F953" s="6"/>
      <c r="G953" s="8" t="str">
        <f aca="false">IF(D953="","",IFERROR(INDEX(Товары!$C$2:$C$200,MATCH(D953,Товары!$A$2:$A$200,0)),0))</f>
        <v/>
      </c>
      <c r="H953" s="8" t="str">
        <f aca="false">IF(D953="","",F953*G953)</f>
        <v/>
      </c>
      <c r="I953" s="8" t="str">
        <f aca="false">IF(D953="","",F953*IFERROR(INDEX(Товары!$D$2:$D$200,MATCH(D953,Товары!$A$2:$A$200,0)),0))</f>
        <v/>
      </c>
      <c r="J953" s="8" t="str">
        <f aca="false">IF(D953="","",H953-I953)</f>
        <v/>
      </c>
      <c r="K953" s="7" t="str">
        <f aca="false">IF(A953="","",MONTH(A953))</f>
        <v/>
      </c>
      <c r="L953" s="7" t="str">
        <f aca="false">IF(A953="","",YEAR(A953))</f>
        <v/>
      </c>
      <c r="M953" s="9" t="str">
        <f aca="false">IF(B953="","",B953&amp;"|"&amp;COUNTIF(B$2:B953,B953))</f>
        <v/>
      </c>
    </row>
    <row r="954" customFormat="false" ht="15" hidden="false" customHeight="false" outlineLevel="0" collapsed="false">
      <c r="A954" s="5"/>
      <c r="B954" s="6"/>
      <c r="C954" s="6"/>
      <c r="D954" s="6"/>
      <c r="E954" s="7" t="str">
        <f aca="false">IF(D954="","",IFERROR(INDEX(Товары!$B$2:$B$200,MATCH(D954,Товары!$A$2:$A$200,0)),"нет в справочнике"))</f>
        <v/>
      </c>
      <c r="F954" s="6"/>
      <c r="G954" s="8" t="str">
        <f aca="false">IF(D954="","",IFERROR(INDEX(Товары!$C$2:$C$200,MATCH(D954,Товары!$A$2:$A$200,0)),0))</f>
        <v/>
      </c>
      <c r="H954" s="8" t="str">
        <f aca="false">IF(D954="","",F954*G954)</f>
        <v/>
      </c>
      <c r="I954" s="8" t="str">
        <f aca="false">IF(D954="","",F954*IFERROR(INDEX(Товары!$D$2:$D$200,MATCH(D954,Товары!$A$2:$A$200,0)),0))</f>
        <v/>
      </c>
      <c r="J954" s="8" t="str">
        <f aca="false">IF(D954="","",H954-I954)</f>
        <v/>
      </c>
      <c r="K954" s="7" t="str">
        <f aca="false">IF(A954="","",MONTH(A954))</f>
        <v/>
      </c>
      <c r="L954" s="7" t="str">
        <f aca="false">IF(A954="","",YEAR(A954))</f>
        <v/>
      </c>
      <c r="M954" s="9" t="str">
        <f aca="false">IF(B954="","",B954&amp;"|"&amp;COUNTIF(B$2:B954,B954))</f>
        <v/>
      </c>
    </row>
    <row r="955" customFormat="false" ht="15" hidden="false" customHeight="false" outlineLevel="0" collapsed="false">
      <c r="A955" s="5"/>
      <c r="B955" s="6"/>
      <c r="C955" s="6"/>
      <c r="D955" s="6"/>
      <c r="E955" s="7" t="str">
        <f aca="false">IF(D955="","",IFERROR(INDEX(Товары!$B$2:$B$200,MATCH(D955,Товары!$A$2:$A$200,0)),"нет в справочнике"))</f>
        <v/>
      </c>
      <c r="F955" s="6"/>
      <c r="G955" s="8" t="str">
        <f aca="false">IF(D955="","",IFERROR(INDEX(Товары!$C$2:$C$200,MATCH(D955,Товары!$A$2:$A$200,0)),0))</f>
        <v/>
      </c>
      <c r="H955" s="8" t="str">
        <f aca="false">IF(D955="","",F955*G955)</f>
        <v/>
      </c>
      <c r="I955" s="8" t="str">
        <f aca="false">IF(D955="","",F955*IFERROR(INDEX(Товары!$D$2:$D$200,MATCH(D955,Товары!$A$2:$A$200,0)),0))</f>
        <v/>
      </c>
      <c r="J955" s="8" t="str">
        <f aca="false">IF(D955="","",H955-I955)</f>
        <v/>
      </c>
      <c r="K955" s="7" t="str">
        <f aca="false">IF(A955="","",MONTH(A955))</f>
        <v/>
      </c>
      <c r="L955" s="7" t="str">
        <f aca="false">IF(A955="","",YEAR(A955))</f>
        <v/>
      </c>
      <c r="M955" s="9" t="str">
        <f aca="false">IF(B955="","",B955&amp;"|"&amp;COUNTIF(B$2:B955,B955))</f>
        <v/>
      </c>
    </row>
    <row r="956" customFormat="false" ht="15" hidden="false" customHeight="false" outlineLevel="0" collapsed="false">
      <c r="A956" s="5"/>
      <c r="B956" s="6"/>
      <c r="C956" s="6"/>
      <c r="D956" s="6"/>
      <c r="E956" s="7" t="str">
        <f aca="false">IF(D956="","",IFERROR(INDEX(Товары!$B$2:$B$200,MATCH(D956,Товары!$A$2:$A$200,0)),"нет в справочнике"))</f>
        <v/>
      </c>
      <c r="F956" s="6"/>
      <c r="G956" s="8" t="str">
        <f aca="false">IF(D956="","",IFERROR(INDEX(Товары!$C$2:$C$200,MATCH(D956,Товары!$A$2:$A$200,0)),0))</f>
        <v/>
      </c>
      <c r="H956" s="8" t="str">
        <f aca="false">IF(D956="","",F956*G956)</f>
        <v/>
      </c>
      <c r="I956" s="8" t="str">
        <f aca="false">IF(D956="","",F956*IFERROR(INDEX(Товары!$D$2:$D$200,MATCH(D956,Товары!$A$2:$A$200,0)),0))</f>
        <v/>
      </c>
      <c r="J956" s="8" t="str">
        <f aca="false">IF(D956="","",H956-I956)</f>
        <v/>
      </c>
      <c r="K956" s="7" t="str">
        <f aca="false">IF(A956="","",MONTH(A956))</f>
        <v/>
      </c>
      <c r="L956" s="7" t="str">
        <f aca="false">IF(A956="","",YEAR(A956))</f>
        <v/>
      </c>
      <c r="M956" s="9" t="str">
        <f aca="false">IF(B956="","",B956&amp;"|"&amp;COUNTIF(B$2:B956,B956))</f>
        <v/>
      </c>
    </row>
    <row r="957" customFormat="false" ht="15" hidden="false" customHeight="false" outlineLevel="0" collapsed="false">
      <c r="A957" s="5"/>
      <c r="B957" s="6"/>
      <c r="C957" s="6"/>
      <c r="D957" s="6"/>
      <c r="E957" s="7" t="str">
        <f aca="false">IF(D957="","",IFERROR(INDEX(Товары!$B$2:$B$200,MATCH(D957,Товары!$A$2:$A$200,0)),"нет в справочнике"))</f>
        <v/>
      </c>
      <c r="F957" s="6"/>
      <c r="G957" s="8" t="str">
        <f aca="false">IF(D957="","",IFERROR(INDEX(Товары!$C$2:$C$200,MATCH(D957,Товары!$A$2:$A$200,0)),0))</f>
        <v/>
      </c>
      <c r="H957" s="8" t="str">
        <f aca="false">IF(D957="","",F957*G957)</f>
        <v/>
      </c>
      <c r="I957" s="8" t="str">
        <f aca="false">IF(D957="","",F957*IFERROR(INDEX(Товары!$D$2:$D$200,MATCH(D957,Товары!$A$2:$A$200,0)),0))</f>
        <v/>
      </c>
      <c r="J957" s="8" t="str">
        <f aca="false">IF(D957="","",H957-I957)</f>
        <v/>
      </c>
      <c r="K957" s="7" t="str">
        <f aca="false">IF(A957="","",MONTH(A957))</f>
        <v/>
      </c>
      <c r="L957" s="7" t="str">
        <f aca="false">IF(A957="","",YEAR(A957))</f>
        <v/>
      </c>
      <c r="M957" s="9" t="str">
        <f aca="false">IF(B957="","",B957&amp;"|"&amp;COUNTIF(B$2:B957,B957))</f>
        <v/>
      </c>
    </row>
    <row r="958" customFormat="false" ht="15" hidden="false" customHeight="false" outlineLevel="0" collapsed="false">
      <c r="A958" s="5"/>
      <c r="B958" s="6"/>
      <c r="C958" s="6"/>
      <c r="D958" s="6"/>
      <c r="E958" s="7" t="str">
        <f aca="false">IF(D958="","",IFERROR(INDEX(Товары!$B$2:$B$200,MATCH(D958,Товары!$A$2:$A$200,0)),"нет в справочнике"))</f>
        <v/>
      </c>
      <c r="F958" s="6"/>
      <c r="G958" s="8" t="str">
        <f aca="false">IF(D958="","",IFERROR(INDEX(Товары!$C$2:$C$200,MATCH(D958,Товары!$A$2:$A$200,0)),0))</f>
        <v/>
      </c>
      <c r="H958" s="8" t="str">
        <f aca="false">IF(D958="","",F958*G958)</f>
        <v/>
      </c>
      <c r="I958" s="8" t="str">
        <f aca="false">IF(D958="","",F958*IFERROR(INDEX(Товары!$D$2:$D$200,MATCH(D958,Товары!$A$2:$A$200,0)),0))</f>
        <v/>
      </c>
      <c r="J958" s="8" t="str">
        <f aca="false">IF(D958="","",H958-I958)</f>
        <v/>
      </c>
      <c r="K958" s="7" t="str">
        <f aca="false">IF(A958="","",MONTH(A958))</f>
        <v/>
      </c>
      <c r="L958" s="7" t="str">
        <f aca="false">IF(A958="","",YEAR(A958))</f>
        <v/>
      </c>
      <c r="M958" s="9" t="str">
        <f aca="false">IF(B958="","",B958&amp;"|"&amp;COUNTIF(B$2:B958,B958))</f>
        <v/>
      </c>
    </row>
    <row r="959" customFormat="false" ht="15" hidden="false" customHeight="false" outlineLevel="0" collapsed="false">
      <c r="A959" s="5"/>
      <c r="B959" s="6"/>
      <c r="C959" s="6"/>
      <c r="D959" s="6"/>
      <c r="E959" s="7" t="str">
        <f aca="false">IF(D959="","",IFERROR(INDEX(Товары!$B$2:$B$200,MATCH(D959,Товары!$A$2:$A$200,0)),"нет в справочнике"))</f>
        <v/>
      </c>
      <c r="F959" s="6"/>
      <c r="G959" s="8" t="str">
        <f aca="false">IF(D959="","",IFERROR(INDEX(Товары!$C$2:$C$200,MATCH(D959,Товары!$A$2:$A$200,0)),0))</f>
        <v/>
      </c>
      <c r="H959" s="8" t="str">
        <f aca="false">IF(D959="","",F959*G959)</f>
        <v/>
      </c>
      <c r="I959" s="8" t="str">
        <f aca="false">IF(D959="","",F959*IFERROR(INDEX(Товары!$D$2:$D$200,MATCH(D959,Товары!$A$2:$A$200,0)),0))</f>
        <v/>
      </c>
      <c r="J959" s="8" t="str">
        <f aca="false">IF(D959="","",H959-I959)</f>
        <v/>
      </c>
      <c r="K959" s="7" t="str">
        <f aca="false">IF(A959="","",MONTH(A959))</f>
        <v/>
      </c>
      <c r="L959" s="7" t="str">
        <f aca="false">IF(A959="","",YEAR(A959))</f>
        <v/>
      </c>
      <c r="M959" s="9" t="str">
        <f aca="false">IF(B959="","",B959&amp;"|"&amp;COUNTIF(B$2:B959,B959))</f>
        <v/>
      </c>
    </row>
    <row r="960" customFormat="false" ht="15" hidden="false" customHeight="false" outlineLevel="0" collapsed="false">
      <c r="A960" s="5"/>
      <c r="B960" s="6"/>
      <c r="C960" s="6"/>
      <c r="D960" s="6"/>
      <c r="E960" s="7" t="str">
        <f aca="false">IF(D960="","",IFERROR(INDEX(Товары!$B$2:$B$200,MATCH(D960,Товары!$A$2:$A$200,0)),"нет в справочнике"))</f>
        <v/>
      </c>
      <c r="F960" s="6"/>
      <c r="G960" s="8" t="str">
        <f aca="false">IF(D960="","",IFERROR(INDEX(Товары!$C$2:$C$200,MATCH(D960,Товары!$A$2:$A$200,0)),0))</f>
        <v/>
      </c>
      <c r="H960" s="8" t="str">
        <f aca="false">IF(D960="","",F960*G960)</f>
        <v/>
      </c>
      <c r="I960" s="8" t="str">
        <f aca="false">IF(D960="","",F960*IFERROR(INDEX(Товары!$D$2:$D$200,MATCH(D960,Товары!$A$2:$A$200,0)),0))</f>
        <v/>
      </c>
      <c r="J960" s="8" t="str">
        <f aca="false">IF(D960="","",H960-I960)</f>
        <v/>
      </c>
      <c r="K960" s="7" t="str">
        <f aca="false">IF(A960="","",MONTH(A960))</f>
        <v/>
      </c>
      <c r="L960" s="7" t="str">
        <f aca="false">IF(A960="","",YEAR(A960))</f>
        <v/>
      </c>
      <c r="M960" s="9" t="str">
        <f aca="false">IF(B960="","",B960&amp;"|"&amp;COUNTIF(B$2:B960,B960))</f>
        <v/>
      </c>
    </row>
    <row r="961" customFormat="false" ht="15" hidden="false" customHeight="false" outlineLevel="0" collapsed="false">
      <c r="A961" s="5"/>
      <c r="B961" s="6"/>
      <c r="C961" s="6"/>
      <c r="D961" s="6"/>
      <c r="E961" s="7" t="str">
        <f aca="false">IF(D961="","",IFERROR(INDEX(Товары!$B$2:$B$200,MATCH(D961,Товары!$A$2:$A$200,0)),"нет в справочнике"))</f>
        <v/>
      </c>
      <c r="F961" s="6"/>
      <c r="G961" s="8" t="str">
        <f aca="false">IF(D961="","",IFERROR(INDEX(Товары!$C$2:$C$200,MATCH(D961,Товары!$A$2:$A$200,0)),0))</f>
        <v/>
      </c>
      <c r="H961" s="8" t="str">
        <f aca="false">IF(D961="","",F961*G961)</f>
        <v/>
      </c>
      <c r="I961" s="8" t="str">
        <f aca="false">IF(D961="","",F961*IFERROR(INDEX(Товары!$D$2:$D$200,MATCH(D961,Товары!$A$2:$A$200,0)),0))</f>
        <v/>
      </c>
      <c r="J961" s="8" t="str">
        <f aca="false">IF(D961="","",H961-I961)</f>
        <v/>
      </c>
      <c r="K961" s="7" t="str">
        <f aca="false">IF(A961="","",MONTH(A961))</f>
        <v/>
      </c>
      <c r="L961" s="7" t="str">
        <f aca="false">IF(A961="","",YEAR(A961))</f>
        <v/>
      </c>
      <c r="M961" s="9" t="str">
        <f aca="false">IF(B961="","",B961&amp;"|"&amp;COUNTIF(B$2:B961,B961))</f>
        <v/>
      </c>
    </row>
    <row r="962" customFormat="false" ht="15" hidden="false" customHeight="false" outlineLevel="0" collapsed="false">
      <c r="A962" s="5"/>
      <c r="B962" s="6"/>
      <c r="C962" s="6"/>
      <c r="D962" s="6"/>
      <c r="E962" s="7" t="str">
        <f aca="false">IF(D962="","",IFERROR(INDEX(Товары!$B$2:$B$200,MATCH(D962,Товары!$A$2:$A$200,0)),"нет в справочнике"))</f>
        <v/>
      </c>
      <c r="F962" s="6"/>
      <c r="G962" s="8" t="str">
        <f aca="false">IF(D962="","",IFERROR(INDEX(Товары!$C$2:$C$200,MATCH(D962,Товары!$A$2:$A$200,0)),0))</f>
        <v/>
      </c>
      <c r="H962" s="8" t="str">
        <f aca="false">IF(D962="","",F962*G962)</f>
        <v/>
      </c>
      <c r="I962" s="8" t="str">
        <f aca="false">IF(D962="","",F962*IFERROR(INDEX(Товары!$D$2:$D$200,MATCH(D962,Товары!$A$2:$A$200,0)),0))</f>
        <v/>
      </c>
      <c r="J962" s="8" t="str">
        <f aca="false">IF(D962="","",H962-I962)</f>
        <v/>
      </c>
      <c r="K962" s="7" t="str">
        <f aca="false">IF(A962="","",MONTH(A962))</f>
        <v/>
      </c>
      <c r="L962" s="7" t="str">
        <f aca="false">IF(A962="","",YEAR(A962))</f>
        <v/>
      </c>
      <c r="M962" s="9" t="str">
        <f aca="false">IF(B962="","",B962&amp;"|"&amp;COUNTIF(B$2:B962,B962))</f>
        <v/>
      </c>
    </row>
    <row r="963" customFormat="false" ht="15" hidden="false" customHeight="false" outlineLevel="0" collapsed="false">
      <c r="A963" s="5"/>
      <c r="B963" s="6"/>
      <c r="C963" s="6"/>
      <c r="D963" s="6"/>
      <c r="E963" s="7" t="str">
        <f aca="false">IF(D963="","",IFERROR(INDEX(Товары!$B$2:$B$200,MATCH(D963,Товары!$A$2:$A$200,0)),"нет в справочнике"))</f>
        <v/>
      </c>
      <c r="F963" s="6"/>
      <c r="G963" s="8" t="str">
        <f aca="false">IF(D963="","",IFERROR(INDEX(Товары!$C$2:$C$200,MATCH(D963,Товары!$A$2:$A$200,0)),0))</f>
        <v/>
      </c>
      <c r="H963" s="8" t="str">
        <f aca="false">IF(D963="","",F963*G963)</f>
        <v/>
      </c>
      <c r="I963" s="8" t="str">
        <f aca="false">IF(D963="","",F963*IFERROR(INDEX(Товары!$D$2:$D$200,MATCH(D963,Товары!$A$2:$A$200,0)),0))</f>
        <v/>
      </c>
      <c r="J963" s="8" t="str">
        <f aca="false">IF(D963="","",H963-I963)</f>
        <v/>
      </c>
      <c r="K963" s="7" t="str">
        <f aca="false">IF(A963="","",MONTH(A963))</f>
        <v/>
      </c>
      <c r="L963" s="7" t="str">
        <f aca="false">IF(A963="","",YEAR(A963))</f>
        <v/>
      </c>
      <c r="M963" s="9" t="str">
        <f aca="false">IF(B963="","",B963&amp;"|"&amp;COUNTIF(B$2:B963,B963))</f>
        <v/>
      </c>
    </row>
    <row r="964" customFormat="false" ht="15" hidden="false" customHeight="false" outlineLevel="0" collapsed="false">
      <c r="A964" s="5"/>
      <c r="B964" s="6"/>
      <c r="C964" s="6"/>
      <c r="D964" s="6"/>
      <c r="E964" s="7" t="str">
        <f aca="false">IF(D964="","",IFERROR(INDEX(Товары!$B$2:$B$200,MATCH(D964,Товары!$A$2:$A$200,0)),"нет в справочнике"))</f>
        <v/>
      </c>
      <c r="F964" s="6"/>
      <c r="G964" s="8" t="str">
        <f aca="false">IF(D964="","",IFERROR(INDEX(Товары!$C$2:$C$200,MATCH(D964,Товары!$A$2:$A$200,0)),0))</f>
        <v/>
      </c>
      <c r="H964" s="8" t="str">
        <f aca="false">IF(D964="","",F964*G964)</f>
        <v/>
      </c>
      <c r="I964" s="8" t="str">
        <f aca="false">IF(D964="","",F964*IFERROR(INDEX(Товары!$D$2:$D$200,MATCH(D964,Товары!$A$2:$A$200,0)),0))</f>
        <v/>
      </c>
      <c r="J964" s="8" t="str">
        <f aca="false">IF(D964="","",H964-I964)</f>
        <v/>
      </c>
      <c r="K964" s="7" t="str">
        <f aca="false">IF(A964="","",MONTH(A964))</f>
        <v/>
      </c>
      <c r="L964" s="7" t="str">
        <f aca="false">IF(A964="","",YEAR(A964))</f>
        <v/>
      </c>
      <c r="M964" s="9" t="str">
        <f aca="false">IF(B964="","",B964&amp;"|"&amp;COUNTIF(B$2:B964,B964))</f>
        <v/>
      </c>
    </row>
    <row r="965" customFormat="false" ht="15" hidden="false" customHeight="false" outlineLevel="0" collapsed="false">
      <c r="A965" s="5"/>
      <c r="B965" s="6"/>
      <c r="C965" s="6"/>
      <c r="D965" s="6"/>
      <c r="E965" s="7" t="str">
        <f aca="false">IF(D965="","",IFERROR(INDEX(Товары!$B$2:$B$200,MATCH(D965,Товары!$A$2:$A$200,0)),"нет в справочнике"))</f>
        <v/>
      </c>
      <c r="F965" s="6"/>
      <c r="G965" s="8" t="str">
        <f aca="false">IF(D965="","",IFERROR(INDEX(Товары!$C$2:$C$200,MATCH(D965,Товары!$A$2:$A$200,0)),0))</f>
        <v/>
      </c>
      <c r="H965" s="8" t="str">
        <f aca="false">IF(D965="","",F965*G965)</f>
        <v/>
      </c>
      <c r="I965" s="8" t="str">
        <f aca="false">IF(D965="","",F965*IFERROR(INDEX(Товары!$D$2:$D$200,MATCH(D965,Товары!$A$2:$A$200,0)),0))</f>
        <v/>
      </c>
      <c r="J965" s="8" t="str">
        <f aca="false">IF(D965="","",H965-I965)</f>
        <v/>
      </c>
      <c r="K965" s="7" t="str">
        <f aca="false">IF(A965="","",MONTH(A965))</f>
        <v/>
      </c>
      <c r="L965" s="7" t="str">
        <f aca="false">IF(A965="","",YEAR(A965))</f>
        <v/>
      </c>
      <c r="M965" s="9" t="str">
        <f aca="false">IF(B965="","",B965&amp;"|"&amp;COUNTIF(B$2:B965,B965))</f>
        <v/>
      </c>
    </row>
    <row r="966" customFormat="false" ht="15" hidden="false" customHeight="false" outlineLevel="0" collapsed="false">
      <c r="A966" s="5"/>
      <c r="B966" s="6"/>
      <c r="C966" s="6"/>
      <c r="D966" s="6"/>
      <c r="E966" s="7" t="str">
        <f aca="false">IF(D966="","",IFERROR(INDEX(Товары!$B$2:$B$200,MATCH(D966,Товары!$A$2:$A$200,0)),"нет в справочнике"))</f>
        <v/>
      </c>
      <c r="F966" s="6"/>
      <c r="G966" s="8" t="str">
        <f aca="false">IF(D966="","",IFERROR(INDEX(Товары!$C$2:$C$200,MATCH(D966,Товары!$A$2:$A$200,0)),0))</f>
        <v/>
      </c>
      <c r="H966" s="8" t="str">
        <f aca="false">IF(D966="","",F966*G966)</f>
        <v/>
      </c>
      <c r="I966" s="8" t="str">
        <f aca="false">IF(D966="","",F966*IFERROR(INDEX(Товары!$D$2:$D$200,MATCH(D966,Товары!$A$2:$A$200,0)),0))</f>
        <v/>
      </c>
      <c r="J966" s="8" t="str">
        <f aca="false">IF(D966="","",H966-I966)</f>
        <v/>
      </c>
      <c r="K966" s="7" t="str">
        <f aca="false">IF(A966="","",MONTH(A966))</f>
        <v/>
      </c>
      <c r="L966" s="7" t="str">
        <f aca="false">IF(A966="","",YEAR(A966))</f>
        <v/>
      </c>
      <c r="M966" s="9" t="str">
        <f aca="false">IF(B966="","",B966&amp;"|"&amp;COUNTIF(B$2:B966,B966))</f>
        <v/>
      </c>
    </row>
    <row r="967" customFormat="false" ht="15" hidden="false" customHeight="false" outlineLevel="0" collapsed="false">
      <c r="A967" s="5"/>
      <c r="B967" s="6"/>
      <c r="C967" s="6"/>
      <c r="D967" s="6"/>
      <c r="E967" s="7" t="str">
        <f aca="false">IF(D967="","",IFERROR(INDEX(Товары!$B$2:$B$200,MATCH(D967,Товары!$A$2:$A$200,0)),"нет в справочнике"))</f>
        <v/>
      </c>
      <c r="F967" s="6"/>
      <c r="G967" s="8" t="str">
        <f aca="false">IF(D967="","",IFERROR(INDEX(Товары!$C$2:$C$200,MATCH(D967,Товары!$A$2:$A$200,0)),0))</f>
        <v/>
      </c>
      <c r="H967" s="8" t="str">
        <f aca="false">IF(D967="","",F967*G967)</f>
        <v/>
      </c>
      <c r="I967" s="8" t="str">
        <f aca="false">IF(D967="","",F967*IFERROR(INDEX(Товары!$D$2:$D$200,MATCH(D967,Товары!$A$2:$A$200,0)),0))</f>
        <v/>
      </c>
      <c r="J967" s="8" t="str">
        <f aca="false">IF(D967="","",H967-I967)</f>
        <v/>
      </c>
      <c r="K967" s="7" t="str">
        <f aca="false">IF(A967="","",MONTH(A967))</f>
        <v/>
      </c>
      <c r="L967" s="7" t="str">
        <f aca="false">IF(A967="","",YEAR(A967))</f>
        <v/>
      </c>
      <c r="M967" s="9" t="str">
        <f aca="false">IF(B967="","",B967&amp;"|"&amp;COUNTIF(B$2:B967,B967))</f>
        <v/>
      </c>
    </row>
    <row r="968" customFormat="false" ht="15" hidden="false" customHeight="false" outlineLevel="0" collapsed="false">
      <c r="A968" s="5"/>
      <c r="B968" s="6"/>
      <c r="C968" s="6"/>
      <c r="D968" s="6"/>
      <c r="E968" s="7" t="str">
        <f aca="false">IF(D968="","",IFERROR(INDEX(Товары!$B$2:$B$200,MATCH(D968,Товары!$A$2:$A$200,0)),"нет в справочнике"))</f>
        <v/>
      </c>
      <c r="F968" s="6"/>
      <c r="G968" s="8" t="str">
        <f aca="false">IF(D968="","",IFERROR(INDEX(Товары!$C$2:$C$200,MATCH(D968,Товары!$A$2:$A$200,0)),0))</f>
        <v/>
      </c>
      <c r="H968" s="8" t="str">
        <f aca="false">IF(D968="","",F968*G968)</f>
        <v/>
      </c>
      <c r="I968" s="8" t="str">
        <f aca="false">IF(D968="","",F968*IFERROR(INDEX(Товары!$D$2:$D$200,MATCH(D968,Товары!$A$2:$A$200,0)),0))</f>
        <v/>
      </c>
      <c r="J968" s="8" t="str">
        <f aca="false">IF(D968="","",H968-I968)</f>
        <v/>
      </c>
      <c r="K968" s="7" t="str">
        <f aca="false">IF(A968="","",MONTH(A968))</f>
        <v/>
      </c>
      <c r="L968" s="7" t="str">
        <f aca="false">IF(A968="","",YEAR(A968))</f>
        <v/>
      </c>
      <c r="M968" s="9" t="str">
        <f aca="false">IF(B968="","",B968&amp;"|"&amp;COUNTIF(B$2:B968,B968))</f>
        <v/>
      </c>
    </row>
    <row r="969" customFormat="false" ht="15" hidden="false" customHeight="false" outlineLevel="0" collapsed="false">
      <c r="A969" s="5"/>
      <c r="B969" s="6"/>
      <c r="C969" s="6"/>
      <c r="D969" s="6"/>
      <c r="E969" s="7" t="str">
        <f aca="false">IF(D969="","",IFERROR(INDEX(Товары!$B$2:$B$200,MATCH(D969,Товары!$A$2:$A$200,0)),"нет в справочнике"))</f>
        <v/>
      </c>
      <c r="F969" s="6"/>
      <c r="G969" s="8" t="str">
        <f aca="false">IF(D969="","",IFERROR(INDEX(Товары!$C$2:$C$200,MATCH(D969,Товары!$A$2:$A$200,0)),0))</f>
        <v/>
      </c>
      <c r="H969" s="8" t="str">
        <f aca="false">IF(D969="","",F969*G969)</f>
        <v/>
      </c>
      <c r="I969" s="8" t="str">
        <f aca="false">IF(D969="","",F969*IFERROR(INDEX(Товары!$D$2:$D$200,MATCH(D969,Товары!$A$2:$A$200,0)),0))</f>
        <v/>
      </c>
      <c r="J969" s="8" t="str">
        <f aca="false">IF(D969="","",H969-I969)</f>
        <v/>
      </c>
      <c r="K969" s="7" t="str">
        <f aca="false">IF(A969="","",MONTH(A969))</f>
        <v/>
      </c>
      <c r="L969" s="7" t="str">
        <f aca="false">IF(A969="","",YEAR(A969))</f>
        <v/>
      </c>
      <c r="M969" s="9" t="str">
        <f aca="false">IF(B969="","",B969&amp;"|"&amp;COUNTIF(B$2:B969,B969))</f>
        <v/>
      </c>
    </row>
    <row r="970" customFormat="false" ht="15" hidden="false" customHeight="false" outlineLevel="0" collapsed="false">
      <c r="A970" s="5"/>
      <c r="B970" s="6"/>
      <c r="C970" s="6"/>
      <c r="D970" s="6"/>
      <c r="E970" s="7" t="str">
        <f aca="false">IF(D970="","",IFERROR(INDEX(Товары!$B$2:$B$200,MATCH(D970,Товары!$A$2:$A$200,0)),"нет в справочнике"))</f>
        <v/>
      </c>
      <c r="F970" s="6"/>
      <c r="G970" s="8" t="str">
        <f aca="false">IF(D970="","",IFERROR(INDEX(Товары!$C$2:$C$200,MATCH(D970,Товары!$A$2:$A$200,0)),0))</f>
        <v/>
      </c>
      <c r="H970" s="8" t="str">
        <f aca="false">IF(D970="","",F970*G970)</f>
        <v/>
      </c>
      <c r="I970" s="8" t="str">
        <f aca="false">IF(D970="","",F970*IFERROR(INDEX(Товары!$D$2:$D$200,MATCH(D970,Товары!$A$2:$A$200,0)),0))</f>
        <v/>
      </c>
      <c r="J970" s="8" t="str">
        <f aca="false">IF(D970="","",H970-I970)</f>
        <v/>
      </c>
      <c r="K970" s="7" t="str">
        <f aca="false">IF(A970="","",MONTH(A970))</f>
        <v/>
      </c>
      <c r="L970" s="7" t="str">
        <f aca="false">IF(A970="","",YEAR(A970))</f>
        <v/>
      </c>
      <c r="M970" s="9" t="str">
        <f aca="false">IF(B970="","",B970&amp;"|"&amp;COUNTIF(B$2:B970,B970))</f>
        <v/>
      </c>
    </row>
    <row r="971" customFormat="false" ht="15" hidden="false" customHeight="false" outlineLevel="0" collapsed="false">
      <c r="A971" s="5"/>
      <c r="B971" s="6"/>
      <c r="C971" s="6"/>
      <c r="D971" s="6"/>
      <c r="E971" s="7" t="str">
        <f aca="false">IF(D971="","",IFERROR(INDEX(Товары!$B$2:$B$200,MATCH(D971,Товары!$A$2:$A$200,0)),"нет в справочнике"))</f>
        <v/>
      </c>
      <c r="F971" s="6"/>
      <c r="G971" s="8" t="str">
        <f aca="false">IF(D971="","",IFERROR(INDEX(Товары!$C$2:$C$200,MATCH(D971,Товары!$A$2:$A$200,0)),0))</f>
        <v/>
      </c>
      <c r="H971" s="8" t="str">
        <f aca="false">IF(D971="","",F971*G971)</f>
        <v/>
      </c>
      <c r="I971" s="8" t="str">
        <f aca="false">IF(D971="","",F971*IFERROR(INDEX(Товары!$D$2:$D$200,MATCH(D971,Товары!$A$2:$A$200,0)),0))</f>
        <v/>
      </c>
      <c r="J971" s="8" t="str">
        <f aca="false">IF(D971="","",H971-I971)</f>
        <v/>
      </c>
      <c r="K971" s="7" t="str">
        <f aca="false">IF(A971="","",MONTH(A971))</f>
        <v/>
      </c>
      <c r="L971" s="7" t="str">
        <f aca="false">IF(A971="","",YEAR(A971))</f>
        <v/>
      </c>
      <c r="M971" s="9" t="str">
        <f aca="false">IF(B971="","",B971&amp;"|"&amp;COUNTIF(B$2:B971,B971))</f>
        <v/>
      </c>
    </row>
    <row r="972" customFormat="false" ht="15" hidden="false" customHeight="false" outlineLevel="0" collapsed="false">
      <c r="A972" s="5"/>
      <c r="B972" s="6"/>
      <c r="C972" s="6"/>
      <c r="D972" s="6"/>
      <c r="E972" s="7" t="str">
        <f aca="false">IF(D972="","",IFERROR(INDEX(Товары!$B$2:$B$200,MATCH(D972,Товары!$A$2:$A$200,0)),"нет в справочнике"))</f>
        <v/>
      </c>
      <c r="F972" s="6"/>
      <c r="G972" s="8" t="str">
        <f aca="false">IF(D972="","",IFERROR(INDEX(Товары!$C$2:$C$200,MATCH(D972,Товары!$A$2:$A$200,0)),0))</f>
        <v/>
      </c>
      <c r="H972" s="8" t="str">
        <f aca="false">IF(D972="","",F972*G972)</f>
        <v/>
      </c>
      <c r="I972" s="8" t="str">
        <f aca="false">IF(D972="","",F972*IFERROR(INDEX(Товары!$D$2:$D$200,MATCH(D972,Товары!$A$2:$A$200,0)),0))</f>
        <v/>
      </c>
      <c r="J972" s="8" t="str">
        <f aca="false">IF(D972="","",H972-I972)</f>
        <v/>
      </c>
      <c r="K972" s="7" t="str">
        <f aca="false">IF(A972="","",MONTH(A972))</f>
        <v/>
      </c>
      <c r="L972" s="7" t="str">
        <f aca="false">IF(A972="","",YEAR(A972))</f>
        <v/>
      </c>
      <c r="M972" s="9" t="str">
        <f aca="false">IF(B972="","",B972&amp;"|"&amp;COUNTIF(B$2:B972,B972))</f>
        <v/>
      </c>
    </row>
    <row r="973" customFormat="false" ht="15" hidden="false" customHeight="false" outlineLevel="0" collapsed="false">
      <c r="A973" s="5"/>
      <c r="B973" s="6"/>
      <c r="C973" s="6"/>
      <c r="D973" s="6"/>
      <c r="E973" s="7" t="str">
        <f aca="false">IF(D973="","",IFERROR(INDEX(Товары!$B$2:$B$200,MATCH(D973,Товары!$A$2:$A$200,0)),"нет в справочнике"))</f>
        <v/>
      </c>
      <c r="F973" s="6"/>
      <c r="G973" s="8" t="str">
        <f aca="false">IF(D973="","",IFERROR(INDEX(Товары!$C$2:$C$200,MATCH(D973,Товары!$A$2:$A$200,0)),0))</f>
        <v/>
      </c>
      <c r="H973" s="8" t="str">
        <f aca="false">IF(D973="","",F973*G973)</f>
        <v/>
      </c>
      <c r="I973" s="8" t="str">
        <f aca="false">IF(D973="","",F973*IFERROR(INDEX(Товары!$D$2:$D$200,MATCH(D973,Товары!$A$2:$A$200,0)),0))</f>
        <v/>
      </c>
      <c r="J973" s="8" t="str">
        <f aca="false">IF(D973="","",H973-I973)</f>
        <v/>
      </c>
      <c r="K973" s="7" t="str">
        <f aca="false">IF(A973="","",MONTH(A973))</f>
        <v/>
      </c>
      <c r="L973" s="7" t="str">
        <f aca="false">IF(A973="","",YEAR(A973))</f>
        <v/>
      </c>
      <c r="M973" s="9" t="str">
        <f aca="false">IF(B973="","",B973&amp;"|"&amp;COUNTIF(B$2:B973,B973))</f>
        <v/>
      </c>
    </row>
    <row r="974" customFormat="false" ht="15" hidden="false" customHeight="false" outlineLevel="0" collapsed="false">
      <c r="A974" s="5"/>
      <c r="B974" s="6"/>
      <c r="C974" s="6"/>
      <c r="D974" s="6"/>
      <c r="E974" s="7" t="str">
        <f aca="false">IF(D974="","",IFERROR(INDEX(Товары!$B$2:$B$200,MATCH(D974,Товары!$A$2:$A$200,0)),"нет в справочнике"))</f>
        <v/>
      </c>
      <c r="F974" s="6"/>
      <c r="G974" s="8" t="str">
        <f aca="false">IF(D974="","",IFERROR(INDEX(Товары!$C$2:$C$200,MATCH(D974,Товары!$A$2:$A$200,0)),0))</f>
        <v/>
      </c>
      <c r="H974" s="8" t="str">
        <f aca="false">IF(D974="","",F974*G974)</f>
        <v/>
      </c>
      <c r="I974" s="8" t="str">
        <f aca="false">IF(D974="","",F974*IFERROR(INDEX(Товары!$D$2:$D$200,MATCH(D974,Товары!$A$2:$A$200,0)),0))</f>
        <v/>
      </c>
      <c r="J974" s="8" t="str">
        <f aca="false">IF(D974="","",H974-I974)</f>
        <v/>
      </c>
      <c r="K974" s="7" t="str">
        <f aca="false">IF(A974="","",MONTH(A974))</f>
        <v/>
      </c>
      <c r="L974" s="7" t="str">
        <f aca="false">IF(A974="","",YEAR(A974))</f>
        <v/>
      </c>
      <c r="M974" s="9" t="str">
        <f aca="false">IF(B974="","",B974&amp;"|"&amp;COUNTIF(B$2:B974,B974))</f>
        <v/>
      </c>
    </row>
    <row r="975" customFormat="false" ht="15" hidden="false" customHeight="false" outlineLevel="0" collapsed="false">
      <c r="A975" s="5"/>
      <c r="B975" s="6"/>
      <c r="C975" s="6"/>
      <c r="D975" s="6"/>
      <c r="E975" s="7" t="str">
        <f aca="false">IF(D975="","",IFERROR(INDEX(Товары!$B$2:$B$200,MATCH(D975,Товары!$A$2:$A$200,0)),"нет в справочнике"))</f>
        <v/>
      </c>
      <c r="F975" s="6"/>
      <c r="G975" s="8" t="str">
        <f aca="false">IF(D975="","",IFERROR(INDEX(Товары!$C$2:$C$200,MATCH(D975,Товары!$A$2:$A$200,0)),0))</f>
        <v/>
      </c>
      <c r="H975" s="8" t="str">
        <f aca="false">IF(D975="","",F975*G975)</f>
        <v/>
      </c>
      <c r="I975" s="8" t="str">
        <f aca="false">IF(D975="","",F975*IFERROR(INDEX(Товары!$D$2:$D$200,MATCH(D975,Товары!$A$2:$A$200,0)),0))</f>
        <v/>
      </c>
      <c r="J975" s="8" t="str">
        <f aca="false">IF(D975="","",H975-I975)</f>
        <v/>
      </c>
      <c r="K975" s="7" t="str">
        <f aca="false">IF(A975="","",MONTH(A975))</f>
        <v/>
      </c>
      <c r="L975" s="7" t="str">
        <f aca="false">IF(A975="","",YEAR(A975))</f>
        <v/>
      </c>
      <c r="M975" s="9" t="str">
        <f aca="false">IF(B975="","",B975&amp;"|"&amp;COUNTIF(B$2:B975,B975))</f>
        <v/>
      </c>
    </row>
    <row r="976" customFormat="false" ht="15" hidden="false" customHeight="false" outlineLevel="0" collapsed="false">
      <c r="A976" s="5"/>
      <c r="B976" s="6"/>
      <c r="C976" s="6"/>
      <c r="D976" s="6"/>
      <c r="E976" s="7" t="str">
        <f aca="false">IF(D976="","",IFERROR(INDEX(Товары!$B$2:$B$200,MATCH(D976,Товары!$A$2:$A$200,0)),"нет в справочнике"))</f>
        <v/>
      </c>
      <c r="F976" s="6"/>
      <c r="G976" s="8" t="str">
        <f aca="false">IF(D976="","",IFERROR(INDEX(Товары!$C$2:$C$200,MATCH(D976,Товары!$A$2:$A$200,0)),0))</f>
        <v/>
      </c>
      <c r="H976" s="8" t="str">
        <f aca="false">IF(D976="","",F976*G976)</f>
        <v/>
      </c>
      <c r="I976" s="8" t="str">
        <f aca="false">IF(D976="","",F976*IFERROR(INDEX(Товары!$D$2:$D$200,MATCH(D976,Товары!$A$2:$A$200,0)),0))</f>
        <v/>
      </c>
      <c r="J976" s="8" t="str">
        <f aca="false">IF(D976="","",H976-I976)</f>
        <v/>
      </c>
      <c r="K976" s="7" t="str">
        <f aca="false">IF(A976="","",MONTH(A976))</f>
        <v/>
      </c>
      <c r="L976" s="7" t="str">
        <f aca="false">IF(A976="","",YEAR(A976))</f>
        <v/>
      </c>
      <c r="M976" s="9" t="str">
        <f aca="false">IF(B976="","",B976&amp;"|"&amp;COUNTIF(B$2:B976,B976))</f>
        <v/>
      </c>
    </row>
    <row r="977" customFormat="false" ht="15" hidden="false" customHeight="false" outlineLevel="0" collapsed="false">
      <c r="A977" s="5"/>
      <c r="B977" s="6"/>
      <c r="C977" s="6"/>
      <c r="D977" s="6"/>
      <c r="E977" s="7" t="str">
        <f aca="false">IF(D977="","",IFERROR(INDEX(Товары!$B$2:$B$200,MATCH(D977,Товары!$A$2:$A$200,0)),"нет в справочнике"))</f>
        <v/>
      </c>
      <c r="F977" s="6"/>
      <c r="G977" s="8" t="str">
        <f aca="false">IF(D977="","",IFERROR(INDEX(Товары!$C$2:$C$200,MATCH(D977,Товары!$A$2:$A$200,0)),0))</f>
        <v/>
      </c>
      <c r="H977" s="8" t="str">
        <f aca="false">IF(D977="","",F977*G977)</f>
        <v/>
      </c>
      <c r="I977" s="8" t="str">
        <f aca="false">IF(D977="","",F977*IFERROR(INDEX(Товары!$D$2:$D$200,MATCH(D977,Товары!$A$2:$A$200,0)),0))</f>
        <v/>
      </c>
      <c r="J977" s="8" t="str">
        <f aca="false">IF(D977="","",H977-I977)</f>
        <v/>
      </c>
      <c r="K977" s="7" t="str">
        <f aca="false">IF(A977="","",MONTH(A977))</f>
        <v/>
      </c>
      <c r="L977" s="7" t="str">
        <f aca="false">IF(A977="","",YEAR(A977))</f>
        <v/>
      </c>
      <c r="M977" s="9" t="str">
        <f aca="false">IF(B977="","",B977&amp;"|"&amp;COUNTIF(B$2:B977,B977))</f>
        <v/>
      </c>
    </row>
    <row r="978" customFormat="false" ht="15" hidden="false" customHeight="false" outlineLevel="0" collapsed="false">
      <c r="A978" s="5"/>
      <c r="B978" s="6"/>
      <c r="C978" s="6"/>
      <c r="D978" s="6"/>
      <c r="E978" s="7" t="str">
        <f aca="false">IF(D978="","",IFERROR(INDEX(Товары!$B$2:$B$200,MATCH(D978,Товары!$A$2:$A$200,0)),"нет в справочнике"))</f>
        <v/>
      </c>
      <c r="F978" s="6"/>
      <c r="G978" s="8" t="str">
        <f aca="false">IF(D978="","",IFERROR(INDEX(Товары!$C$2:$C$200,MATCH(D978,Товары!$A$2:$A$200,0)),0))</f>
        <v/>
      </c>
      <c r="H978" s="8" t="str">
        <f aca="false">IF(D978="","",F978*G978)</f>
        <v/>
      </c>
      <c r="I978" s="8" t="str">
        <f aca="false">IF(D978="","",F978*IFERROR(INDEX(Товары!$D$2:$D$200,MATCH(D978,Товары!$A$2:$A$200,0)),0))</f>
        <v/>
      </c>
      <c r="J978" s="8" t="str">
        <f aca="false">IF(D978="","",H978-I978)</f>
        <v/>
      </c>
      <c r="K978" s="7" t="str">
        <f aca="false">IF(A978="","",MONTH(A978))</f>
        <v/>
      </c>
      <c r="L978" s="7" t="str">
        <f aca="false">IF(A978="","",YEAR(A978))</f>
        <v/>
      </c>
      <c r="M978" s="9" t="str">
        <f aca="false">IF(B978="","",B978&amp;"|"&amp;COUNTIF(B$2:B978,B978))</f>
        <v/>
      </c>
    </row>
    <row r="979" customFormat="false" ht="15" hidden="false" customHeight="false" outlineLevel="0" collapsed="false">
      <c r="A979" s="5"/>
      <c r="B979" s="6"/>
      <c r="C979" s="6"/>
      <c r="D979" s="6"/>
      <c r="E979" s="7" t="str">
        <f aca="false">IF(D979="","",IFERROR(INDEX(Товары!$B$2:$B$200,MATCH(D979,Товары!$A$2:$A$200,0)),"нет в справочнике"))</f>
        <v/>
      </c>
      <c r="F979" s="6"/>
      <c r="G979" s="8" t="str">
        <f aca="false">IF(D979="","",IFERROR(INDEX(Товары!$C$2:$C$200,MATCH(D979,Товары!$A$2:$A$200,0)),0))</f>
        <v/>
      </c>
      <c r="H979" s="8" t="str">
        <f aca="false">IF(D979="","",F979*G979)</f>
        <v/>
      </c>
      <c r="I979" s="8" t="str">
        <f aca="false">IF(D979="","",F979*IFERROR(INDEX(Товары!$D$2:$D$200,MATCH(D979,Товары!$A$2:$A$200,0)),0))</f>
        <v/>
      </c>
      <c r="J979" s="8" t="str">
        <f aca="false">IF(D979="","",H979-I979)</f>
        <v/>
      </c>
      <c r="K979" s="7" t="str">
        <f aca="false">IF(A979="","",MONTH(A979))</f>
        <v/>
      </c>
      <c r="L979" s="7" t="str">
        <f aca="false">IF(A979="","",YEAR(A979))</f>
        <v/>
      </c>
      <c r="M979" s="9" t="str">
        <f aca="false">IF(B979="","",B979&amp;"|"&amp;COUNTIF(B$2:B979,B979))</f>
        <v/>
      </c>
    </row>
    <row r="980" customFormat="false" ht="15" hidden="false" customHeight="false" outlineLevel="0" collapsed="false">
      <c r="A980" s="5"/>
      <c r="B980" s="6"/>
      <c r="C980" s="6"/>
      <c r="D980" s="6"/>
      <c r="E980" s="7" t="str">
        <f aca="false">IF(D980="","",IFERROR(INDEX(Товары!$B$2:$B$200,MATCH(D980,Товары!$A$2:$A$200,0)),"нет в справочнике"))</f>
        <v/>
      </c>
      <c r="F980" s="6"/>
      <c r="G980" s="8" t="str">
        <f aca="false">IF(D980="","",IFERROR(INDEX(Товары!$C$2:$C$200,MATCH(D980,Товары!$A$2:$A$200,0)),0))</f>
        <v/>
      </c>
      <c r="H980" s="8" t="str">
        <f aca="false">IF(D980="","",F980*G980)</f>
        <v/>
      </c>
      <c r="I980" s="8" t="str">
        <f aca="false">IF(D980="","",F980*IFERROR(INDEX(Товары!$D$2:$D$200,MATCH(D980,Товары!$A$2:$A$200,0)),0))</f>
        <v/>
      </c>
      <c r="J980" s="8" t="str">
        <f aca="false">IF(D980="","",H980-I980)</f>
        <v/>
      </c>
      <c r="K980" s="7" t="str">
        <f aca="false">IF(A980="","",MONTH(A980))</f>
        <v/>
      </c>
      <c r="L980" s="7" t="str">
        <f aca="false">IF(A980="","",YEAR(A980))</f>
        <v/>
      </c>
      <c r="M980" s="9" t="str">
        <f aca="false">IF(B980="","",B980&amp;"|"&amp;COUNTIF(B$2:B980,B980))</f>
        <v/>
      </c>
    </row>
    <row r="981" customFormat="false" ht="15" hidden="false" customHeight="false" outlineLevel="0" collapsed="false">
      <c r="A981" s="5"/>
      <c r="B981" s="6"/>
      <c r="C981" s="6"/>
      <c r="D981" s="6"/>
      <c r="E981" s="7" t="str">
        <f aca="false">IF(D981="","",IFERROR(INDEX(Товары!$B$2:$B$200,MATCH(D981,Товары!$A$2:$A$200,0)),"нет в справочнике"))</f>
        <v/>
      </c>
      <c r="F981" s="6"/>
      <c r="G981" s="8" t="str">
        <f aca="false">IF(D981="","",IFERROR(INDEX(Товары!$C$2:$C$200,MATCH(D981,Товары!$A$2:$A$200,0)),0))</f>
        <v/>
      </c>
      <c r="H981" s="8" t="str">
        <f aca="false">IF(D981="","",F981*G981)</f>
        <v/>
      </c>
      <c r="I981" s="8" t="str">
        <f aca="false">IF(D981="","",F981*IFERROR(INDEX(Товары!$D$2:$D$200,MATCH(D981,Товары!$A$2:$A$200,0)),0))</f>
        <v/>
      </c>
      <c r="J981" s="8" t="str">
        <f aca="false">IF(D981="","",H981-I981)</f>
        <v/>
      </c>
      <c r="K981" s="7" t="str">
        <f aca="false">IF(A981="","",MONTH(A981))</f>
        <v/>
      </c>
      <c r="L981" s="7" t="str">
        <f aca="false">IF(A981="","",YEAR(A981))</f>
        <v/>
      </c>
      <c r="M981" s="9" t="str">
        <f aca="false">IF(B981="","",B981&amp;"|"&amp;COUNTIF(B$2:B981,B981))</f>
        <v/>
      </c>
    </row>
    <row r="982" customFormat="false" ht="15" hidden="false" customHeight="false" outlineLevel="0" collapsed="false">
      <c r="A982" s="5"/>
      <c r="B982" s="6"/>
      <c r="C982" s="6"/>
      <c r="D982" s="6"/>
      <c r="E982" s="7" t="str">
        <f aca="false">IF(D982="","",IFERROR(INDEX(Товары!$B$2:$B$200,MATCH(D982,Товары!$A$2:$A$200,0)),"нет в справочнике"))</f>
        <v/>
      </c>
      <c r="F982" s="6"/>
      <c r="G982" s="8" t="str">
        <f aca="false">IF(D982="","",IFERROR(INDEX(Товары!$C$2:$C$200,MATCH(D982,Товары!$A$2:$A$200,0)),0))</f>
        <v/>
      </c>
      <c r="H982" s="8" t="str">
        <f aca="false">IF(D982="","",F982*G982)</f>
        <v/>
      </c>
      <c r="I982" s="8" t="str">
        <f aca="false">IF(D982="","",F982*IFERROR(INDEX(Товары!$D$2:$D$200,MATCH(D982,Товары!$A$2:$A$200,0)),0))</f>
        <v/>
      </c>
      <c r="J982" s="8" t="str">
        <f aca="false">IF(D982="","",H982-I982)</f>
        <v/>
      </c>
      <c r="K982" s="7" t="str">
        <f aca="false">IF(A982="","",MONTH(A982))</f>
        <v/>
      </c>
      <c r="L982" s="7" t="str">
        <f aca="false">IF(A982="","",YEAR(A982))</f>
        <v/>
      </c>
      <c r="M982" s="9" t="str">
        <f aca="false">IF(B982="","",B982&amp;"|"&amp;COUNTIF(B$2:B982,B982))</f>
        <v/>
      </c>
    </row>
    <row r="983" customFormat="false" ht="15" hidden="false" customHeight="false" outlineLevel="0" collapsed="false">
      <c r="A983" s="5"/>
      <c r="B983" s="6"/>
      <c r="C983" s="6"/>
      <c r="D983" s="6"/>
      <c r="E983" s="7" t="str">
        <f aca="false">IF(D983="","",IFERROR(INDEX(Товары!$B$2:$B$200,MATCH(D983,Товары!$A$2:$A$200,0)),"нет в справочнике"))</f>
        <v/>
      </c>
      <c r="F983" s="6"/>
      <c r="G983" s="8" t="str">
        <f aca="false">IF(D983="","",IFERROR(INDEX(Товары!$C$2:$C$200,MATCH(D983,Товары!$A$2:$A$200,0)),0))</f>
        <v/>
      </c>
      <c r="H983" s="8" t="str">
        <f aca="false">IF(D983="","",F983*G983)</f>
        <v/>
      </c>
      <c r="I983" s="8" t="str">
        <f aca="false">IF(D983="","",F983*IFERROR(INDEX(Товары!$D$2:$D$200,MATCH(D983,Товары!$A$2:$A$200,0)),0))</f>
        <v/>
      </c>
      <c r="J983" s="8" t="str">
        <f aca="false">IF(D983="","",H983-I983)</f>
        <v/>
      </c>
      <c r="K983" s="7" t="str">
        <f aca="false">IF(A983="","",MONTH(A983))</f>
        <v/>
      </c>
      <c r="L983" s="7" t="str">
        <f aca="false">IF(A983="","",YEAR(A983))</f>
        <v/>
      </c>
      <c r="M983" s="9" t="str">
        <f aca="false">IF(B983="","",B983&amp;"|"&amp;COUNTIF(B$2:B983,B983))</f>
        <v/>
      </c>
    </row>
    <row r="984" customFormat="false" ht="15" hidden="false" customHeight="false" outlineLevel="0" collapsed="false">
      <c r="A984" s="5"/>
      <c r="B984" s="6"/>
      <c r="C984" s="6"/>
      <c r="D984" s="6"/>
      <c r="E984" s="7" t="str">
        <f aca="false">IF(D984="","",IFERROR(INDEX(Товары!$B$2:$B$200,MATCH(D984,Товары!$A$2:$A$200,0)),"нет в справочнике"))</f>
        <v/>
      </c>
      <c r="F984" s="6"/>
      <c r="G984" s="8" t="str">
        <f aca="false">IF(D984="","",IFERROR(INDEX(Товары!$C$2:$C$200,MATCH(D984,Товары!$A$2:$A$200,0)),0))</f>
        <v/>
      </c>
      <c r="H984" s="8" t="str">
        <f aca="false">IF(D984="","",F984*G984)</f>
        <v/>
      </c>
      <c r="I984" s="8" t="str">
        <f aca="false">IF(D984="","",F984*IFERROR(INDEX(Товары!$D$2:$D$200,MATCH(D984,Товары!$A$2:$A$200,0)),0))</f>
        <v/>
      </c>
      <c r="J984" s="8" t="str">
        <f aca="false">IF(D984="","",H984-I984)</f>
        <v/>
      </c>
      <c r="K984" s="7" t="str">
        <f aca="false">IF(A984="","",MONTH(A984))</f>
        <v/>
      </c>
      <c r="L984" s="7" t="str">
        <f aca="false">IF(A984="","",YEAR(A984))</f>
        <v/>
      </c>
      <c r="M984" s="9" t="str">
        <f aca="false">IF(B984="","",B984&amp;"|"&amp;COUNTIF(B$2:B984,B984))</f>
        <v/>
      </c>
    </row>
    <row r="985" customFormat="false" ht="15" hidden="false" customHeight="false" outlineLevel="0" collapsed="false">
      <c r="A985" s="5"/>
      <c r="B985" s="6"/>
      <c r="C985" s="6"/>
      <c r="D985" s="6"/>
      <c r="E985" s="7" t="str">
        <f aca="false">IF(D985="","",IFERROR(INDEX(Товары!$B$2:$B$200,MATCH(D985,Товары!$A$2:$A$200,0)),"нет в справочнике"))</f>
        <v/>
      </c>
      <c r="F985" s="6"/>
      <c r="G985" s="8" t="str">
        <f aca="false">IF(D985="","",IFERROR(INDEX(Товары!$C$2:$C$200,MATCH(D985,Товары!$A$2:$A$200,0)),0))</f>
        <v/>
      </c>
      <c r="H985" s="8" t="str">
        <f aca="false">IF(D985="","",F985*G985)</f>
        <v/>
      </c>
      <c r="I985" s="8" t="str">
        <f aca="false">IF(D985="","",F985*IFERROR(INDEX(Товары!$D$2:$D$200,MATCH(D985,Товары!$A$2:$A$200,0)),0))</f>
        <v/>
      </c>
      <c r="J985" s="8" t="str">
        <f aca="false">IF(D985="","",H985-I985)</f>
        <v/>
      </c>
      <c r="K985" s="7" t="str">
        <f aca="false">IF(A985="","",MONTH(A985))</f>
        <v/>
      </c>
      <c r="L985" s="7" t="str">
        <f aca="false">IF(A985="","",YEAR(A985))</f>
        <v/>
      </c>
      <c r="M985" s="9" t="str">
        <f aca="false">IF(B985="","",B985&amp;"|"&amp;COUNTIF(B$2:B985,B985))</f>
        <v/>
      </c>
    </row>
    <row r="986" customFormat="false" ht="15" hidden="false" customHeight="false" outlineLevel="0" collapsed="false">
      <c r="A986" s="5"/>
      <c r="B986" s="6"/>
      <c r="C986" s="6"/>
      <c r="D986" s="6"/>
      <c r="E986" s="7" t="str">
        <f aca="false">IF(D986="","",IFERROR(INDEX(Товары!$B$2:$B$200,MATCH(D986,Товары!$A$2:$A$200,0)),"нет в справочнике"))</f>
        <v/>
      </c>
      <c r="F986" s="6"/>
      <c r="G986" s="8" t="str">
        <f aca="false">IF(D986="","",IFERROR(INDEX(Товары!$C$2:$C$200,MATCH(D986,Товары!$A$2:$A$200,0)),0))</f>
        <v/>
      </c>
      <c r="H986" s="8" t="str">
        <f aca="false">IF(D986="","",F986*G986)</f>
        <v/>
      </c>
      <c r="I986" s="8" t="str">
        <f aca="false">IF(D986="","",F986*IFERROR(INDEX(Товары!$D$2:$D$200,MATCH(D986,Товары!$A$2:$A$200,0)),0))</f>
        <v/>
      </c>
      <c r="J986" s="8" t="str">
        <f aca="false">IF(D986="","",H986-I986)</f>
        <v/>
      </c>
      <c r="K986" s="7" t="str">
        <f aca="false">IF(A986="","",MONTH(A986))</f>
        <v/>
      </c>
      <c r="L986" s="7" t="str">
        <f aca="false">IF(A986="","",YEAR(A986))</f>
        <v/>
      </c>
      <c r="M986" s="9" t="str">
        <f aca="false">IF(B986="","",B986&amp;"|"&amp;COUNTIF(B$2:B986,B986))</f>
        <v/>
      </c>
    </row>
    <row r="987" customFormat="false" ht="15" hidden="false" customHeight="false" outlineLevel="0" collapsed="false">
      <c r="A987" s="5"/>
      <c r="B987" s="6"/>
      <c r="C987" s="6"/>
      <c r="D987" s="6"/>
      <c r="E987" s="7" t="str">
        <f aca="false">IF(D987="","",IFERROR(INDEX(Товары!$B$2:$B$200,MATCH(D987,Товары!$A$2:$A$200,0)),"нет в справочнике"))</f>
        <v/>
      </c>
      <c r="F987" s="6"/>
      <c r="G987" s="8" t="str">
        <f aca="false">IF(D987="","",IFERROR(INDEX(Товары!$C$2:$C$200,MATCH(D987,Товары!$A$2:$A$200,0)),0))</f>
        <v/>
      </c>
      <c r="H987" s="8" t="str">
        <f aca="false">IF(D987="","",F987*G987)</f>
        <v/>
      </c>
      <c r="I987" s="8" t="str">
        <f aca="false">IF(D987="","",F987*IFERROR(INDEX(Товары!$D$2:$D$200,MATCH(D987,Товары!$A$2:$A$200,0)),0))</f>
        <v/>
      </c>
      <c r="J987" s="8" t="str">
        <f aca="false">IF(D987="","",H987-I987)</f>
        <v/>
      </c>
      <c r="K987" s="7" t="str">
        <f aca="false">IF(A987="","",MONTH(A987))</f>
        <v/>
      </c>
      <c r="L987" s="7" t="str">
        <f aca="false">IF(A987="","",YEAR(A987))</f>
        <v/>
      </c>
      <c r="M987" s="9" t="str">
        <f aca="false">IF(B987="","",B987&amp;"|"&amp;COUNTIF(B$2:B987,B987))</f>
        <v/>
      </c>
    </row>
    <row r="988" customFormat="false" ht="15" hidden="false" customHeight="false" outlineLevel="0" collapsed="false">
      <c r="A988" s="5"/>
      <c r="B988" s="6"/>
      <c r="C988" s="6"/>
      <c r="D988" s="6"/>
      <c r="E988" s="7" t="str">
        <f aca="false">IF(D988="","",IFERROR(INDEX(Товары!$B$2:$B$200,MATCH(D988,Товары!$A$2:$A$200,0)),"нет в справочнике"))</f>
        <v/>
      </c>
      <c r="F988" s="6"/>
      <c r="G988" s="8" t="str">
        <f aca="false">IF(D988="","",IFERROR(INDEX(Товары!$C$2:$C$200,MATCH(D988,Товары!$A$2:$A$200,0)),0))</f>
        <v/>
      </c>
      <c r="H988" s="8" t="str">
        <f aca="false">IF(D988="","",F988*G988)</f>
        <v/>
      </c>
      <c r="I988" s="8" t="str">
        <f aca="false">IF(D988="","",F988*IFERROR(INDEX(Товары!$D$2:$D$200,MATCH(D988,Товары!$A$2:$A$200,0)),0))</f>
        <v/>
      </c>
      <c r="J988" s="8" t="str">
        <f aca="false">IF(D988="","",H988-I988)</f>
        <v/>
      </c>
      <c r="K988" s="7" t="str">
        <f aca="false">IF(A988="","",MONTH(A988))</f>
        <v/>
      </c>
      <c r="L988" s="7" t="str">
        <f aca="false">IF(A988="","",YEAR(A988))</f>
        <v/>
      </c>
      <c r="M988" s="9" t="str">
        <f aca="false">IF(B988="","",B988&amp;"|"&amp;COUNTIF(B$2:B988,B988))</f>
        <v/>
      </c>
    </row>
    <row r="989" customFormat="false" ht="15" hidden="false" customHeight="false" outlineLevel="0" collapsed="false">
      <c r="A989" s="5"/>
      <c r="B989" s="6"/>
      <c r="C989" s="6"/>
      <c r="D989" s="6"/>
      <c r="E989" s="7" t="str">
        <f aca="false">IF(D989="","",IFERROR(INDEX(Товары!$B$2:$B$200,MATCH(D989,Товары!$A$2:$A$200,0)),"нет в справочнике"))</f>
        <v/>
      </c>
      <c r="F989" s="6"/>
      <c r="G989" s="8" t="str">
        <f aca="false">IF(D989="","",IFERROR(INDEX(Товары!$C$2:$C$200,MATCH(D989,Товары!$A$2:$A$200,0)),0))</f>
        <v/>
      </c>
      <c r="H989" s="8" t="str">
        <f aca="false">IF(D989="","",F989*G989)</f>
        <v/>
      </c>
      <c r="I989" s="8" t="str">
        <f aca="false">IF(D989="","",F989*IFERROR(INDEX(Товары!$D$2:$D$200,MATCH(D989,Товары!$A$2:$A$200,0)),0))</f>
        <v/>
      </c>
      <c r="J989" s="8" t="str">
        <f aca="false">IF(D989="","",H989-I989)</f>
        <v/>
      </c>
      <c r="K989" s="7" t="str">
        <f aca="false">IF(A989="","",MONTH(A989))</f>
        <v/>
      </c>
      <c r="L989" s="7" t="str">
        <f aca="false">IF(A989="","",YEAR(A989))</f>
        <v/>
      </c>
      <c r="M989" s="9" t="str">
        <f aca="false">IF(B989="","",B989&amp;"|"&amp;COUNTIF(B$2:B989,B989))</f>
        <v/>
      </c>
    </row>
    <row r="990" customFormat="false" ht="15" hidden="false" customHeight="false" outlineLevel="0" collapsed="false">
      <c r="A990" s="5"/>
      <c r="B990" s="6"/>
      <c r="C990" s="6"/>
      <c r="D990" s="6"/>
      <c r="E990" s="7" t="str">
        <f aca="false">IF(D990="","",IFERROR(INDEX(Товары!$B$2:$B$200,MATCH(D990,Товары!$A$2:$A$200,0)),"нет в справочнике"))</f>
        <v/>
      </c>
      <c r="F990" s="6"/>
      <c r="G990" s="8" t="str">
        <f aca="false">IF(D990="","",IFERROR(INDEX(Товары!$C$2:$C$200,MATCH(D990,Товары!$A$2:$A$200,0)),0))</f>
        <v/>
      </c>
      <c r="H990" s="8" t="str">
        <f aca="false">IF(D990="","",F990*G990)</f>
        <v/>
      </c>
      <c r="I990" s="8" t="str">
        <f aca="false">IF(D990="","",F990*IFERROR(INDEX(Товары!$D$2:$D$200,MATCH(D990,Товары!$A$2:$A$200,0)),0))</f>
        <v/>
      </c>
      <c r="J990" s="8" t="str">
        <f aca="false">IF(D990="","",H990-I990)</f>
        <v/>
      </c>
      <c r="K990" s="7" t="str">
        <f aca="false">IF(A990="","",MONTH(A990))</f>
        <v/>
      </c>
      <c r="L990" s="7" t="str">
        <f aca="false">IF(A990="","",YEAR(A990))</f>
        <v/>
      </c>
      <c r="M990" s="9" t="str">
        <f aca="false">IF(B990="","",B990&amp;"|"&amp;COUNTIF(B$2:B990,B990))</f>
        <v/>
      </c>
    </row>
    <row r="991" customFormat="false" ht="15" hidden="false" customHeight="false" outlineLevel="0" collapsed="false">
      <c r="A991" s="5"/>
      <c r="B991" s="6"/>
      <c r="C991" s="6"/>
      <c r="D991" s="6"/>
      <c r="E991" s="7" t="str">
        <f aca="false">IF(D991="","",IFERROR(INDEX(Товары!$B$2:$B$200,MATCH(D991,Товары!$A$2:$A$200,0)),"нет в справочнике"))</f>
        <v/>
      </c>
      <c r="F991" s="6"/>
      <c r="G991" s="8" t="str">
        <f aca="false">IF(D991="","",IFERROR(INDEX(Товары!$C$2:$C$200,MATCH(D991,Товары!$A$2:$A$200,0)),0))</f>
        <v/>
      </c>
      <c r="H991" s="8" t="str">
        <f aca="false">IF(D991="","",F991*G991)</f>
        <v/>
      </c>
      <c r="I991" s="8" t="str">
        <f aca="false">IF(D991="","",F991*IFERROR(INDEX(Товары!$D$2:$D$200,MATCH(D991,Товары!$A$2:$A$200,0)),0))</f>
        <v/>
      </c>
      <c r="J991" s="8" t="str">
        <f aca="false">IF(D991="","",H991-I991)</f>
        <v/>
      </c>
      <c r="K991" s="7" t="str">
        <f aca="false">IF(A991="","",MONTH(A991))</f>
        <v/>
      </c>
      <c r="L991" s="7" t="str">
        <f aca="false">IF(A991="","",YEAR(A991))</f>
        <v/>
      </c>
      <c r="M991" s="9" t="str">
        <f aca="false">IF(B991="","",B991&amp;"|"&amp;COUNTIF(B$2:B991,B991))</f>
        <v/>
      </c>
    </row>
    <row r="992" customFormat="false" ht="15" hidden="false" customHeight="false" outlineLevel="0" collapsed="false">
      <c r="A992" s="5"/>
      <c r="B992" s="6"/>
      <c r="C992" s="6"/>
      <c r="D992" s="6"/>
      <c r="E992" s="7" t="str">
        <f aca="false">IF(D992="","",IFERROR(INDEX(Товары!$B$2:$B$200,MATCH(D992,Товары!$A$2:$A$200,0)),"нет в справочнике"))</f>
        <v/>
      </c>
      <c r="F992" s="6"/>
      <c r="G992" s="8" t="str">
        <f aca="false">IF(D992="","",IFERROR(INDEX(Товары!$C$2:$C$200,MATCH(D992,Товары!$A$2:$A$200,0)),0))</f>
        <v/>
      </c>
      <c r="H992" s="8" t="str">
        <f aca="false">IF(D992="","",F992*G992)</f>
        <v/>
      </c>
      <c r="I992" s="8" t="str">
        <f aca="false">IF(D992="","",F992*IFERROR(INDEX(Товары!$D$2:$D$200,MATCH(D992,Товары!$A$2:$A$200,0)),0))</f>
        <v/>
      </c>
      <c r="J992" s="8" t="str">
        <f aca="false">IF(D992="","",H992-I992)</f>
        <v/>
      </c>
      <c r="K992" s="7" t="str">
        <f aca="false">IF(A992="","",MONTH(A992))</f>
        <v/>
      </c>
      <c r="L992" s="7" t="str">
        <f aca="false">IF(A992="","",YEAR(A992))</f>
        <v/>
      </c>
      <c r="M992" s="9" t="str">
        <f aca="false">IF(B992="","",B992&amp;"|"&amp;COUNTIF(B$2:B992,B992))</f>
        <v/>
      </c>
    </row>
    <row r="993" customFormat="false" ht="15" hidden="false" customHeight="false" outlineLevel="0" collapsed="false">
      <c r="A993" s="5"/>
      <c r="B993" s="6"/>
      <c r="C993" s="6"/>
      <c r="D993" s="6"/>
      <c r="E993" s="7" t="str">
        <f aca="false">IF(D993="","",IFERROR(INDEX(Товары!$B$2:$B$200,MATCH(D993,Товары!$A$2:$A$200,0)),"нет в справочнике"))</f>
        <v/>
      </c>
      <c r="F993" s="6"/>
      <c r="G993" s="8" t="str">
        <f aca="false">IF(D993="","",IFERROR(INDEX(Товары!$C$2:$C$200,MATCH(D993,Товары!$A$2:$A$200,0)),0))</f>
        <v/>
      </c>
      <c r="H993" s="8" t="str">
        <f aca="false">IF(D993="","",F993*G993)</f>
        <v/>
      </c>
      <c r="I993" s="8" t="str">
        <f aca="false">IF(D993="","",F993*IFERROR(INDEX(Товары!$D$2:$D$200,MATCH(D993,Товары!$A$2:$A$200,0)),0))</f>
        <v/>
      </c>
      <c r="J993" s="8" t="str">
        <f aca="false">IF(D993="","",H993-I993)</f>
        <v/>
      </c>
      <c r="K993" s="7" t="str">
        <f aca="false">IF(A993="","",MONTH(A993))</f>
        <v/>
      </c>
      <c r="L993" s="7" t="str">
        <f aca="false">IF(A993="","",YEAR(A993))</f>
        <v/>
      </c>
      <c r="M993" s="9" t="str">
        <f aca="false">IF(B993="","",B993&amp;"|"&amp;COUNTIF(B$2:B993,B993))</f>
        <v/>
      </c>
    </row>
    <row r="994" customFormat="false" ht="15" hidden="false" customHeight="false" outlineLevel="0" collapsed="false">
      <c r="A994" s="5"/>
      <c r="B994" s="6"/>
      <c r="C994" s="6"/>
      <c r="D994" s="6"/>
      <c r="E994" s="7" t="str">
        <f aca="false">IF(D994="","",IFERROR(INDEX(Товары!$B$2:$B$200,MATCH(D994,Товары!$A$2:$A$200,0)),"нет в справочнике"))</f>
        <v/>
      </c>
      <c r="F994" s="6"/>
      <c r="G994" s="8" t="str">
        <f aca="false">IF(D994="","",IFERROR(INDEX(Товары!$C$2:$C$200,MATCH(D994,Товары!$A$2:$A$200,0)),0))</f>
        <v/>
      </c>
      <c r="H994" s="8" t="str">
        <f aca="false">IF(D994="","",F994*G994)</f>
        <v/>
      </c>
      <c r="I994" s="8" t="str">
        <f aca="false">IF(D994="","",F994*IFERROR(INDEX(Товары!$D$2:$D$200,MATCH(D994,Товары!$A$2:$A$200,0)),0))</f>
        <v/>
      </c>
      <c r="J994" s="8" t="str">
        <f aca="false">IF(D994="","",H994-I994)</f>
        <v/>
      </c>
      <c r="K994" s="7" t="str">
        <f aca="false">IF(A994="","",MONTH(A994))</f>
        <v/>
      </c>
      <c r="L994" s="7" t="str">
        <f aca="false">IF(A994="","",YEAR(A994))</f>
        <v/>
      </c>
      <c r="M994" s="9" t="str">
        <f aca="false">IF(B994="","",B994&amp;"|"&amp;COUNTIF(B$2:B994,B994))</f>
        <v/>
      </c>
    </row>
    <row r="995" customFormat="false" ht="15" hidden="false" customHeight="false" outlineLevel="0" collapsed="false">
      <c r="A995" s="5"/>
      <c r="B995" s="6"/>
      <c r="C995" s="6"/>
      <c r="D995" s="6"/>
      <c r="E995" s="7" t="str">
        <f aca="false">IF(D995="","",IFERROR(INDEX(Товары!$B$2:$B$200,MATCH(D995,Товары!$A$2:$A$200,0)),"нет в справочнике"))</f>
        <v/>
      </c>
      <c r="F995" s="6"/>
      <c r="G995" s="8" t="str">
        <f aca="false">IF(D995="","",IFERROR(INDEX(Товары!$C$2:$C$200,MATCH(D995,Товары!$A$2:$A$200,0)),0))</f>
        <v/>
      </c>
      <c r="H995" s="8" t="str">
        <f aca="false">IF(D995="","",F995*G995)</f>
        <v/>
      </c>
      <c r="I995" s="8" t="str">
        <f aca="false">IF(D995="","",F995*IFERROR(INDEX(Товары!$D$2:$D$200,MATCH(D995,Товары!$A$2:$A$200,0)),0))</f>
        <v/>
      </c>
      <c r="J995" s="8" t="str">
        <f aca="false">IF(D995="","",H995-I995)</f>
        <v/>
      </c>
      <c r="K995" s="7" t="str">
        <f aca="false">IF(A995="","",MONTH(A995))</f>
        <v/>
      </c>
      <c r="L995" s="7" t="str">
        <f aca="false">IF(A995="","",YEAR(A995))</f>
        <v/>
      </c>
      <c r="M995" s="9" t="str">
        <f aca="false">IF(B995="","",B995&amp;"|"&amp;COUNTIF(B$2:B995,B995))</f>
        <v/>
      </c>
    </row>
    <row r="996" customFormat="false" ht="15" hidden="false" customHeight="false" outlineLevel="0" collapsed="false">
      <c r="A996" s="5"/>
      <c r="B996" s="6"/>
      <c r="C996" s="6"/>
      <c r="D996" s="6"/>
      <c r="E996" s="7" t="str">
        <f aca="false">IF(D996="","",IFERROR(INDEX(Товары!$B$2:$B$200,MATCH(D996,Товары!$A$2:$A$200,0)),"нет в справочнике"))</f>
        <v/>
      </c>
      <c r="F996" s="6"/>
      <c r="G996" s="8" t="str">
        <f aca="false">IF(D996="","",IFERROR(INDEX(Товары!$C$2:$C$200,MATCH(D996,Товары!$A$2:$A$200,0)),0))</f>
        <v/>
      </c>
      <c r="H996" s="8" t="str">
        <f aca="false">IF(D996="","",F996*G996)</f>
        <v/>
      </c>
      <c r="I996" s="8" t="str">
        <f aca="false">IF(D996="","",F996*IFERROR(INDEX(Товары!$D$2:$D$200,MATCH(D996,Товары!$A$2:$A$200,0)),0))</f>
        <v/>
      </c>
      <c r="J996" s="8" t="str">
        <f aca="false">IF(D996="","",H996-I996)</f>
        <v/>
      </c>
      <c r="K996" s="7" t="str">
        <f aca="false">IF(A996="","",MONTH(A996))</f>
        <v/>
      </c>
      <c r="L996" s="7" t="str">
        <f aca="false">IF(A996="","",YEAR(A996))</f>
        <v/>
      </c>
      <c r="M996" s="9" t="str">
        <f aca="false">IF(B996="","",B996&amp;"|"&amp;COUNTIF(B$2:B996,B996))</f>
        <v/>
      </c>
    </row>
    <row r="997" customFormat="false" ht="15" hidden="false" customHeight="false" outlineLevel="0" collapsed="false">
      <c r="A997" s="5"/>
      <c r="B997" s="6"/>
      <c r="C997" s="6"/>
      <c r="D997" s="6"/>
      <c r="E997" s="7" t="str">
        <f aca="false">IF(D997="","",IFERROR(INDEX(Товары!$B$2:$B$200,MATCH(D997,Товары!$A$2:$A$200,0)),"нет в справочнике"))</f>
        <v/>
      </c>
      <c r="F997" s="6"/>
      <c r="G997" s="8" t="str">
        <f aca="false">IF(D997="","",IFERROR(INDEX(Товары!$C$2:$C$200,MATCH(D997,Товары!$A$2:$A$200,0)),0))</f>
        <v/>
      </c>
      <c r="H997" s="8" t="str">
        <f aca="false">IF(D997="","",F997*G997)</f>
        <v/>
      </c>
      <c r="I997" s="8" t="str">
        <f aca="false">IF(D997="","",F997*IFERROR(INDEX(Товары!$D$2:$D$200,MATCH(D997,Товары!$A$2:$A$200,0)),0))</f>
        <v/>
      </c>
      <c r="J997" s="8" t="str">
        <f aca="false">IF(D997="","",H997-I997)</f>
        <v/>
      </c>
      <c r="K997" s="7" t="str">
        <f aca="false">IF(A997="","",MONTH(A997))</f>
        <v/>
      </c>
      <c r="L997" s="7" t="str">
        <f aca="false">IF(A997="","",YEAR(A997))</f>
        <v/>
      </c>
      <c r="M997" s="9" t="str">
        <f aca="false">IF(B997="","",B997&amp;"|"&amp;COUNTIF(B$2:B997,B997))</f>
        <v/>
      </c>
    </row>
    <row r="998" customFormat="false" ht="15" hidden="false" customHeight="false" outlineLevel="0" collapsed="false">
      <c r="A998" s="5"/>
      <c r="B998" s="6"/>
      <c r="C998" s="6"/>
      <c r="D998" s="6"/>
      <c r="E998" s="7" t="str">
        <f aca="false">IF(D998="","",IFERROR(INDEX(Товары!$B$2:$B$200,MATCH(D998,Товары!$A$2:$A$200,0)),"нет в справочнике"))</f>
        <v/>
      </c>
      <c r="F998" s="6"/>
      <c r="G998" s="8" t="str">
        <f aca="false">IF(D998="","",IFERROR(INDEX(Товары!$C$2:$C$200,MATCH(D998,Товары!$A$2:$A$200,0)),0))</f>
        <v/>
      </c>
      <c r="H998" s="8" t="str">
        <f aca="false">IF(D998="","",F998*G998)</f>
        <v/>
      </c>
      <c r="I998" s="8" t="str">
        <f aca="false">IF(D998="","",F998*IFERROR(INDEX(Товары!$D$2:$D$200,MATCH(D998,Товары!$A$2:$A$200,0)),0))</f>
        <v/>
      </c>
      <c r="J998" s="8" t="str">
        <f aca="false">IF(D998="","",H998-I998)</f>
        <v/>
      </c>
      <c r="K998" s="7" t="str">
        <f aca="false">IF(A998="","",MONTH(A998))</f>
        <v/>
      </c>
      <c r="L998" s="7" t="str">
        <f aca="false">IF(A998="","",YEAR(A998))</f>
        <v/>
      </c>
      <c r="M998" s="9" t="str">
        <f aca="false">IF(B998="","",B998&amp;"|"&amp;COUNTIF(B$2:B998,B998))</f>
        <v/>
      </c>
    </row>
    <row r="999" customFormat="false" ht="15" hidden="false" customHeight="false" outlineLevel="0" collapsed="false">
      <c r="A999" s="5"/>
      <c r="B999" s="6"/>
      <c r="C999" s="6"/>
      <c r="D999" s="6"/>
      <c r="E999" s="7" t="str">
        <f aca="false">IF(D999="","",IFERROR(INDEX(Товары!$B$2:$B$200,MATCH(D999,Товары!$A$2:$A$200,0)),"нет в справочнике"))</f>
        <v/>
      </c>
      <c r="F999" s="6"/>
      <c r="G999" s="8" t="str">
        <f aca="false">IF(D999="","",IFERROR(INDEX(Товары!$C$2:$C$200,MATCH(D999,Товары!$A$2:$A$200,0)),0))</f>
        <v/>
      </c>
      <c r="H999" s="8" t="str">
        <f aca="false">IF(D999="","",F999*G999)</f>
        <v/>
      </c>
      <c r="I999" s="8" t="str">
        <f aca="false">IF(D999="","",F999*IFERROR(INDEX(Товары!$D$2:$D$200,MATCH(D999,Товары!$A$2:$A$200,0)),0))</f>
        <v/>
      </c>
      <c r="J999" s="8" t="str">
        <f aca="false">IF(D999="","",H999-I999)</f>
        <v/>
      </c>
      <c r="K999" s="7" t="str">
        <f aca="false">IF(A999="","",MONTH(A999))</f>
        <v/>
      </c>
      <c r="L999" s="7" t="str">
        <f aca="false">IF(A999="","",YEAR(A999))</f>
        <v/>
      </c>
      <c r="M999" s="9" t="str">
        <f aca="false">IF(B999="","",B999&amp;"|"&amp;COUNTIF(B$2:B999,B999))</f>
        <v/>
      </c>
    </row>
    <row r="1000" customFormat="false" ht="15" hidden="false" customHeight="false" outlineLevel="0" collapsed="false">
      <c r="A1000" s="5"/>
      <c r="B1000" s="6"/>
      <c r="C1000" s="6"/>
      <c r="D1000" s="6"/>
      <c r="E1000" s="7" t="str">
        <f aca="false">IF(D1000="","",IFERROR(INDEX(Товары!$B$2:$B$200,MATCH(D1000,Товары!$A$2:$A$200,0)),"нет в справочнике"))</f>
        <v/>
      </c>
      <c r="F1000" s="6"/>
      <c r="G1000" s="8" t="str">
        <f aca="false">IF(D1000="","",IFERROR(INDEX(Товары!$C$2:$C$200,MATCH(D1000,Товары!$A$2:$A$200,0)),0))</f>
        <v/>
      </c>
      <c r="H1000" s="8" t="str">
        <f aca="false">IF(D1000="","",F1000*G1000)</f>
        <v/>
      </c>
      <c r="I1000" s="8" t="str">
        <f aca="false">IF(D1000="","",F1000*IFERROR(INDEX(Товары!$D$2:$D$200,MATCH(D1000,Товары!$A$2:$A$200,0)),0))</f>
        <v/>
      </c>
      <c r="J1000" s="8" t="str">
        <f aca="false">IF(D1000="","",H1000-I1000)</f>
        <v/>
      </c>
      <c r="K1000" s="7" t="str">
        <f aca="false">IF(A1000="","",MONTH(A1000))</f>
        <v/>
      </c>
      <c r="L1000" s="7" t="str">
        <f aca="false">IF(A1000="","",YEAR(A1000))</f>
        <v/>
      </c>
      <c r="M1000" s="9" t="str">
        <f aca="false">IF(B1000="","",B1000&amp;"|"&amp;COUNTIF(B$2:B1000,B1000))</f>
        <v/>
      </c>
    </row>
  </sheetData>
  <autoFilter ref="A1:M1000"/>
  <dataValidations count="2">
    <dataValidation allowBlank="true" errorStyle="stop" operator="between" showDropDown="false" showErrorMessage="false" showInputMessage="false" sqref="C2:C1000" type="list">
      <formula1>Клиенты!$A$2:$A$200</formula1>
      <formula2>0</formula2>
    </dataValidation>
    <dataValidation allowBlank="true" errorStyle="stop" operator="between" showDropDown="false" showErrorMessage="false" showInputMessage="false" sqref="D2:D1000" type="list">
      <formula1>Товары!$A$2:$A$200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0"/>
    <col collapsed="false" customWidth="true" hidden="false" outlineLevel="0" max="3" min="3" style="0" width="15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8" min="6" style="0" width="11"/>
    <col collapsed="false" customWidth="true" hidden="false" outlineLevel="0" max="9" min="9" style="0" width="13"/>
    <col collapsed="false" customWidth="true" hidden="false" outlineLevel="0" max="10" min="10" style="0" width="12"/>
  </cols>
  <sheetData>
    <row r="1" customFormat="false" ht="30" hidden="false" customHeight="true" outlineLevel="0" collapsed="false">
      <c r="A1" s="4" t="s">
        <v>24</v>
      </c>
      <c r="B1" s="4" t="s">
        <v>25</v>
      </c>
      <c r="C1" s="4" t="s">
        <v>41</v>
      </c>
      <c r="D1" s="4" t="s">
        <v>42</v>
      </c>
      <c r="E1" s="4" t="s">
        <v>43</v>
      </c>
      <c r="F1" s="4" t="s">
        <v>44</v>
      </c>
      <c r="G1" s="4" t="s">
        <v>45</v>
      </c>
      <c r="H1" s="4" t="s">
        <v>46</v>
      </c>
      <c r="I1" s="4" t="s">
        <v>47</v>
      </c>
      <c r="J1" s="4" t="s">
        <v>48</v>
      </c>
    </row>
    <row r="2" customFormat="false" ht="15" hidden="false" customHeight="false" outlineLevel="0" collapsed="false">
      <c r="A2" s="6" t="s">
        <v>35</v>
      </c>
      <c r="B2" s="6" t="s">
        <v>49</v>
      </c>
      <c r="C2" s="10" t="n">
        <v>15000</v>
      </c>
      <c r="D2" s="10" t="n">
        <v>9000</v>
      </c>
      <c r="E2" s="6" t="n">
        <v>50</v>
      </c>
      <c r="F2" s="7" t="n">
        <f aca="false">IF(A2="","",SUMIFS(Приход!$C$2:$C$1000,Приход!$B$2:$B$1000,A2))</f>
        <v>20</v>
      </c>
      <c r="G2" s="7" t="n">
        <f aca="false">IF(A2="","",SUMIFS(Продажи!$F$2:$F$1000,Продажи!$D$2:$D$1000,A2))</f>
        <v>20</v>
      </c>
      <c r="H2" s="7" t="n">
        <f aca="false">IF(A2="","",E2+F2-G2)</f>
        <v>50</v>
      </c>
      <c r="I2" s="6" t="n">
        <v>10</v>
      </c>
      <c r="J2" s="7" t="str">
        <f aca="false">IF(A2="","",IF(H2&lt;=I2,"Заказать","ОК"))</f>
        <v>ОК</v>
      </c>
    </row>
    <row r="3" customFormat="false" ht="15" hidden="false" customHeight="false" outlineLevel="0" collapsed="false">
      <c r="A3" s="6" t="s">
        <v>36</v>
      </c>
      <c r="B3" s="6" t="s">
        <v>50</v>
      </c>
      <c r="C3" s="10" t="n">
        <v>8500</v>
      </c>
      <c r="D3" s="10" t="n">
        <v>5000</v>
      </c>
      <c r="E3" s="6" t="n">
        <v>30</v>
      </c>
      <c r="F3" s="7" t="n">
        <f aca="false">IF(A3="","",SUMIFS(Приход!$C$2:$C$1000,Приход!$B$2:$B$1000,A3))</f>
        <v>0</v>
      </c>
      <c r="G3" s="7" t="n">
        <f aca="false">IF(A3="","",SUMIFS(Продажи!$F$2:$F$1000,Продажи!$D$2:$D$1000,A3))</f>
        <v>13</v>
      </c>
      <c r="H3" s="7" t="n">
        <f aca="false">IF(A3="","",E3+F3-G3)</f>
        <v>17</v>
      </c>
      <c r="I3" s="6" t="n">
        <v>8</v>
      </c>
      <c r="J3" s="7" t="str">
        <f aca="false">IF(A3="","",IF(H3&lt;=I3,"Заказать","ОК"))</f>
        <v>ОК</v>
      </c>
    </row>
    <row r="4" customFormat="false" ht="15" hidden="false" customHeight="false" outlineLevel="0" collapsed="false">
      <c r="A4" s="6" t="s">
        <v>38</v>
      </c>
      <c r="B4" s="6" t="s">
        <v>51</v>
      </c>
      <c r="C4" s="10" t="n">
        <v>3200</v>
      </c>
      <c r="D4" s="10" t="n">
        <v>1800</v>
      </c>
      <c r="E4" s="6" t="n">
        <v>100</v>
      </c>
      <c r="F4" s="7" t="n">
        <f aca="false">IF(A4="","",SUMIFS(Приход!$C$2:$C$1000,Приход!$B$2:$B$1000,A4))</f>
        <v>60</v>
      </c>
      <c r="G4" s="7" t="n">
        <f aca="false">IF(A4="","",SUMIFS(Продажи!$F$2:$F$1000,Продажи!$D$2:$D$1000,A4))</f>
        <v>50</v>
      </c>
      <c r="H4" s="7" t="n">
        <f aca="false">IF(A4="","",E4+F4-G4)</f>
        <v>110</v>
      </c>
      <c r="I4" s="6" t="n">
        <v>40</v>
      </c>
      <c r="J4" s="7" t="str">
        <f aca="false">IF(A4="","",IF(H4&lt;=I4,"Заказать","ОК"))</f>
        <v>ОК</v>
      </c>
    </row>
    <row r="5" customFormat="false" ht="15" hidden="false" customHeight="false" outlineLevel="0" collapsed="false">
      <c r="A5" s="6" t="s">
        <v>40</v>
      </c>
      <c r="B5" s="6" t="s">
        <v>52</v>
      </c>
      <c r="C5" s="10" t="n">
        <v>25000</v>
      </c>
      <c r="D5" s="10" t="n">
        <v>16000</v>
      </c>
      <c r="E5" s="6" t="n">
        <v>20</v>
      </c>
      <c r="F5" s="7" t="n">
        <f aca="false">IF(A5="","",SUMIFS(Приход!$C$2:$C$1000,Приход!$B$2:$B$1000,A5))</f>
        <v>10</v>
      </c>
      <c r="G5" s="7" t="n">
        <f aca="false">IF(A5="","",SUMIFS(Продажи!$F$2:$F$1000,Продажи!$D$2:$D$1000,A5))</f>
        <v>12</v>
      </c>
      <c r="H5" s="7" t="n">
        <f aca="false">IF(A5="","",E5+F5-G5)</f>
        <v>18</v>
      </c>
      <c r="I5" s="6" t="n">
        <v>5</v>
      </c>
      <c r="J5" s="7" t="str">
        <f aca="false">IF(A5="","",IF(H5&lt;=I5,"Заказать","ОК"))</f>
        <v>ОК</v>
      </c>
    </row>
    <row r="6" customFormat="false" ht="15" hidden="false" customHeight="false" outlineLevel="0" collapsed="false">
      <c r="A6" s="6"/>
      <c r="B6" s="6"/>
      <c r="C6" s="10"/>
      <c r="D6" s="10"/>
      <c r="E6" s="6"/>
      <c r="F6" s="7" t="str">
        <f aca="false">IF(A6="","",SUMIFS(Приход!$C$2:$C$1000,Приход!$B$2:$B$1000,A6))</f>
        <v/>
      </c>
      <c r="G6" s="7" t="str">
        <f aca="false">IF(A6="","",SUMIFS(Продажи!$F$2:$F$1000,Продажи!$D$2:$D$1000,A6))</f>
        <v/>
      </c>
      <c r="H6" s="7" t="str">
        <f aca="false">IF(A6="","",E6+F6-G6)</f>
        <v/>
      </c>
      <c r="I6" s="6"/>
      <c r="J6" s="7" t="str">
        <f aca="false">IF(A6="","",IF(H6&lt;=I6,"Заказать","ОК"))</f>
        <v/>
      </c>
    </row>
    <row r="7" customFormat="false" ht="15" hidden="false" customHeight="false" outlineLevel="0" collapsed="false">
      <c r="A7" s="6"/>
      <c r="B7" s="6"/>
      <c r="C7" s="10"/>
      <c r="D7" s="10"/>
      <c r="E7" s="6"/>
      <c r="F7" s="7" t="str">
        <f aca="false">IF(A7="","",SUMIFS(Приход!$C$2:$C$1000,Приход!$B$2:$B$1000,A7))</f>
        <v/>
      </c>
      <c r="G7" s="7" t="str">
        <f aca="false">IF(A7="","",SUMIFS(Продажи!$F$2:$F$1000,Продажи!$D$2:$D$1000,A7))</f>
        <v/>
      </c>
      <c r="H7" s="7" t="str">
        <f aca="false">IF(A7="","",E7+F7-G7)</f>
        <v/>
      </c>
      <c r="I7" s="6"/>
      <c r="J7" s="7" t="str">
        <f aca="false">IF(A7="","",IF(H7&lt;=I7,"Заказать","ОК"))</f>
        <v/>
      </c>
    </row>
    <row r="8" customFormat="false" ht="15" hidden="false" customHeight="false" outlineLevel="0" collapsed="false">
      <c r="A8" s="6"/>
      <c r="B8" s="6"/>
      <c r="C8" s="10"/>
      <c r="D8" s="10"/>
      <c r="E8" s="6"/>
      <c r="F8" s="7" t="str">
        <f aca="false">IF(A8="","",SUMIFS(Приход!$C$2:$C$1000,Приход!$B$2:$B$1000,A8))</f>
        <v/>
      </c>
      <c r="G8" s="7" t="str">
        <f aca="false">IF(A8="","",SUMIFS(Продажи!$F$2:$F$1000,Продажи!$D$2:$D$1000,A8))</f>
        <v/>
      </c>
      <c r="H8" s="7" t="str">
        <f aca="false">IF(A8="","",E8+F8-G8)</f>
        <v/>
      </c>
      <c r="I8" s="6"/>
      <c r="J8" s="7" t="str">
        <f aca="false">IF(A8="","",IF(H8&lt;=I8,"Заказать","ОК"))</f>
        <v/>
      </c>
    </row>
    <row r="9" customFormat="false" ht="15" hidden="false" customHeight="false" outlineLevel="0" collapsed="false">
      <c r="A9" s="6"/>
      <c r="B9" s="6"/>
      <c r="C9" s="10"/>
      <c r="D9" s="10"/>
      <c r="E9" s="6"/>
      <c r="F9" s="7" t="str">
        <f aca="false">IF(A9="","",SUMIFS(Приход!$C$2:$C$1000,Приход!$B$2:$B$1000,A9))</f>
        <v/>
      </c>
      <c r="G9" s="7" t="str">
        <f aca="false">IF(A9="","",SUMIFS(Продажи!$F$2:$F$1000,Продажи!$D$2:$D$1000,A9))</f>
        <v/>
      </c>
      <c r="H9" s="7" t="str">
        <f aca="false">IF(A9="","",E9+F9-G9)</f>
        <v/>
      </c>
      <c r="I9" s="6"/>
      <c r="J9" s="7" t="str">
        <f aca="false">IF(A9="","",IF(H9&lt;=I9,"Заказать","ОК"))</f>
        <v/>
      </c>
    </row>
    <row r="10" customFormat="false" ht="15" hidden="false" customHeight="false" outlineLevel="0" collapsed="false">
      <c r="A10" s="6"/>
      <c r="B10" s="6"/>
      <c r="C10" s="10"/>
      <c r="D10" s="10"/>
      <c r="E10" s="6"/>
      <c r="F10" s="7" t="str">
        <f aca="false">IF(A10="","",SUMIFS(Приход!$C$2:$C$1000,Приход!$B$2:$B$1000,A10))</f>
        <v/>
      </c>
      <c r="G10" s="7" t="str">
        <f aca="false">IF(A10="","",SUMIFS(Продажи!$F$2:$F$1000,Продажи!$D$2:$D$1000,A10))</f>
        <v/>
      </c>
      <c r="H10" s="7" t="str">
        <f aca="false">IF(A10="","",E10+F10-G10)</f>
        <v/>
      </c>
      <c r="I10" s="6"/>
      <c r="J10" s="7" t="str">
        <f aca="false">IF(A10="","",IF(H10&lt;=I10,"Заказать","ОК"))</f>
        <v/>
      </c>
    </row>
    <row r="11" customFormat="false" ht="15" hidden="false" customHeight="false" outlineLevel="0" collapsed="false">
      <c r="A11" s="6"/>
      <c r="B11" s="6"/>
      <c r="C11" s="10"/>
      <c r="D11" s="10"/>
      <c r="E11" s="6"/>
      <c r="F11" s="7" t="str">
        <f aca="false">IF(A11="","",SUMIFS(Приход!$C$2:$C$1000,Приход!$B$2:$B$1000,A11))</f>
        <v/>
      </c>
      <c r="G11" s="7" t="str">
        <f aca="false">IF(A11="","",SUMIFS(Продажи!$F$2:$F$1000,Продажи!$D$2:$D$1000,A11))</f>
        <v/>
      </c>
      <c r="H11" s="7" t="str">
        <f aca="false">IF(A11="","",E11+F11-G11)</f>
        <v/>
      </c>
      <c r="I11" s="6"/>
      <c r="J11" s="7" t="str">
        <f aca="false">IF(A11="","",IF(H11&lt;=I11,"Заказать","ОК"))</f>
        <v/>
      </c>
    </row>
    <row r="12" customFormat="false" ht="15" hidden="false" customHeight="false" outlineLevel="0" collapsed="false">
      <c r="A12" s="6"/>
      <c r="B12" s="6"/>
      <c r="C12" s="10"/>
      <c r="D12" s="10"/>
      <c r="E12" s="6"/>
      <c r="F12" s="7" t="str">
        <f aca="false">IF(A12="","",SUMIFS(Приход!$C$2:$C$1000,Приход!$B$2:$B$1000,A12))</f>
        <v/>
      </c>
      <c r="G12" s="7" t="str">
        <f aca="false">IF(A12="","",SUMIFS(Продажи!$F$2:$F$1000,Продажи!$D$2:$D$1000,A12))</f>
        <v/>
      </c>
      <c r="H12" s="7" t="str">
        <f aca="false">IF(A12="","",E12+F12-G12)</f>
        <v/>
      </c>
      <c r="I12" s="6"/>
      <c r="J12" s="7" t="str">
        <f aca="false">IF(A12="","",IF(H12&lt;=I12,"Заказать","ОК"))</f>
        <v/>
      </c>
    </row>
    <row r="13" customFormat="false" ht="15" hidden="false" customHeight="false" outlineLevel="0" collapsed="false">
      <c r="A13" s="6"/>
      <c r="B13" s="6"/>
      <c r="C13" s="10"/>
      <c r="D13" s="10"/>
      <c r="E13" s="6"/>
      <c r="F13" s="7" t="str">
        <f aca="false">IF(A13="","",SUMIFS(Приход!$C$2:$C$1000,Приход!$B$2:$B$1000,A13))</f>
        <v/>
      </c>
      <c r="G13" s="7" t="str">
        <f aca="false">IF(A13="","",SUMIFS(Продажи!$F$2:$F$1000,Продажи!$D$2:$D$1000,A13))</f>
        <v/>
      </c>
      <c r="H13" s="7" t="str">
        <f aca="false">IF(A13="","",E13+F13-G13)</f>
        <v/>
      </c>
      <c r="I13" s="6"/>
      <c r="J13" s="7" t="str">
        <f aca="false">IF(A13="","",IF(H13&lt;=I13,"Заказать","ОК"))</f>
        <v/>
      </c>
    </row>
    <row r="14" customFormat="false" ht="15" hidden="false" customHeight="false" outlineLevel="0" collapsed="false">
      <c r="A14" s="6"/>
      <c r="B14" s="6"/>
      <c r="C14" s="10"/>
      <c r="D14" s="10"/>
      <c r="E14" s="6"/>
      <c r="F14" s="7" t="str">
        <f aca="false">IF(A14="","",SUMIFS(Приход!$C$2:$C$1000,Приход!$B$2:$B$1000,A14))</f>
        <v/>
      </c>
      <c r="G14" s="7" t="str">
        <f aca="false">IF(A14="","",SUMIFS(Продажи!$F$2:$F$1000,Продажи!$D$2:$D$1000,A14))</f>
        <v/>
      </c>
      <c r="H14" s="7" t="str">
        <f aca="false">IF(A14="","",E14+F14-G14)</f>
        <v/>
      </c>
      <c r="I14" s="6"/>
      <c r="J14" s="7" t="str">
        <f aca="false">IF(A14="","",IF(H14&lt;=I14,"Заказать","ОК"))</f>
        <v/>
      </c>
    </row>
    <row r="15" customFormat="false" ht="15" hidden="false" customHeight="false" outlineLevel="0" collapsed="false">
      <c r="A15" s="6"/>
      <c r="B15" s="6"/>
      <c r="C15" s="10"/>
      <c r="D15" s="10"/>
      <c r="E15" s="6"/>
      <c r="F15" s="7" t="str">
        <f aca="false">IF(A15="","",SUMIFS(Приход!$C$2:$C$1000,Приход!$B$2:$B$1000,A15))</f>
        <v/>
      </c>
      <c r="G15" s="7" t="str">
        <f aca="false">IF(A15="","",SUMIFS(Продажи!$F$2:$F$1000,Продажи!$D$2:$D$1000,A15))</f>
        <v/>
      </c>
      <c r="H15" s="7" t="str">
        <f aca="false">IF(A15="","",E15+F15-G15)</f>
        <v/>
      </c>
      <c r="I15" s="6"/>
      <c r="J15" s="7" t="str">
        <f aca="false">IF(A15="","",IF(H15&lt;=I15,"Заказать","ОК"))</f>
        <v/>
      </c>
    </row>
    <row r="16" customFormat="false" ht="15" hidden="false" customHeight="false" outlineLevel="0" collapsed="false">
      <c r="A16" s="6"/>
      <c r="B16" s="6"/>
      <c r="C16" s="10"/>
      <c r="D16" s="10"/>
      <c r="E16" s="6"/>
      <c r="F16" s="7" t="str">
        <f aca="false">IF(A16="","",SUMIFS(Приход!$C$2:$C$1000,Приход!$B$2:$B$1000,A16))</f>
        <v/>
      </c>
      <c r="G16" s="7" t="str">
        <f aca="false">IF(A16="","",SUMIFS(Продажи!$F$2:$F$1000,Продажи!$D$2:$D$1000,A16))</f>
        <v/>
      </c>
      <c r="H16" s="7" t="str">
        <f aca="false">IF(A16="","",E16+F16-G16)</f>
        <v/>
      </c>
      <c r="I16" s="6"/>
      <c r="J16" s="7" t="str">
        <f aca="false">IF(A16="","",IF(H16&lt;=I16,"Заказать","ОК"))</f>
        <v/>
      </c>
    </row>
    <row r="17" customFormat="false" ht="15" hidden="false" customHeight="false" outlineLevel="0" collapsed="false">
      <c r="A17" s="6"/>
      <c r="B17" s="6"/>
      <c r="C17" s="10"/>
      <c r="D17" s="10"/>
      <c r="E17" s="6"/>
      <c r="F17" s="7" t="str">
        <f aca="false">IF(A17="","",SUMIFS(Приход!$C$2:$C$1000,Приход!$B$2:$B$1000,A17))</f>
        <v/>
      </c>
      <c r="G17" s="7" t="str">
        <f aca="false">IF(A17="","",SUMIFS(Продажи!$F$2:$F$1000,Продажи!$D$2:$D$1000,A17))</f>
        <v/>
      </c>
      <c r="H17" s="7" t="str">
        <f aca="false">IF(A17="","",E17+F17-G17)</f>
        <v/>
      </c>
      <c r="I17" s="6"/>
      <c r="J17" s="7" t="str">
        <f aca="false">IF(A17="","",IF(H17&lt;=I17,"Заказать","ОК"))</f>
        <v/>
      </c>
    </row>
    <row r="18" customFormat="false" ht="15" hidden="false" customHeight="false" outlineLevel="0" collapsed="false">
      <c r="A18" s="6"/>
      <c r="B18" s="6"/>
      <c r="C18" s="10"/>
      <c r="D18" s="10"/>
      <c r="E18" s="6"/>
      <c r="F18" s="7" t="str">
        <f aca="false">IF(A18="","",SUMIFS(Приход!$C$2:$C$1000,Приход!$B$2:$B$1000,A18))</f>
        <v/>
      </c>
      <c r="G18" s="7" t="str">
        <f aca="false">IF(A18="","",SUMIFS(Продажи!$F$2:$F$1000,Продажи!$D$2:$D$1000,A18))</f>
        <v/>
      </c>
      <c r="H18" s="7" t="str">
        <f aca="false">IF(A18="","",E18+F18-G18)</f>
        <v/>
      </c>
      <c r="I18" s="6"/>
      <c r="J18" s="7" t="str">
        <f aca="false">IF(A18="","",IF(H18&lt;=I18,"Заказать","ОК"))</f>
        <v/>
      </c>
    </row>
    <row r="19" customFormat="false" ht="15" hidden="false" customHeight="false" outlineLevel="0" collapsed="false">
      <c r="A19" s="6"/>
      <c r="B19" s="6"/>
      <c r="C19" s="10"/>
      <c r="D19" s="10"/>
      <c r="E19" s="6"/>
      <c r="F19" s="7" t="str">
        <f aca="false">IF(A19="","",SUMIFS(Приход!$C$2:$C$1000,Приход!$B$2:$B$1000,A19))</f>
        <v/>
      </c>
      <c r="G19" s="7" t="str">
        <f aca="false">IF(A19="","",SUMIFS(Продажи!$F$2:$F$1000,Продажи!$D$2:$D$1000,A19))</f>
        <v/>
      </c>
      <c r="H19" s="7" t="str">
        <f aca="false">IF(A19="","",E19+F19-G19)</f>
        <v/>
      </c>
      <c r="I19" s="6"/>
      <c r="J19" s="7" t="str">
        <f aca="false">IF(A19="","",IF(H19&lt;=I19,"Заказать","ОК"))</f>
        <v/>
      </c>
    </row>
    <row r="20" customFormat="false" ht="15" hidden="false" customHeight="false" outlineLevel="0" collapsed="false">
      <c r="A20" s="6"/>
      <c r="B20" s="6"/>
      <c r="C20" s="10"/>
      <c r="D20" s="10"/>
      <c r="E20" s="6"/>
      <c r="F20" s="7" t="str">
        <f aca="false">IF(A20="","",SUMIFS(Приход!$C$2:$C$1000,Приход!$B$2:$B$1000,A20))</f>
        <v/>
      </c>
      <c r="G20" s="7" t="str">
        <f aca="false">IF(A20="","",SUMIFS(Продажи!$F$2:$F$1000,Продажи!$D$2:$D$1000,A20))</f>
        <v/>
      </c>
      <c r="H20" s="7" t="str">
        <f aca="false">IF(A20="","",E20+F20-G20)</f>
        <v/>
      </c>
      <c r="I20" s="6"/>
      <c r="J20" s="7" t="str">
        <f aca="false">IF(A20="","",IF(H20&lt;=I20,"Заказать","ОК"))</f>
        <v/>
      </c>
    </row>
    <row r="21" customFormat="false" ht="15" hidden="false" customHeight="false" outlineLevel="0" collapsed="false">
      <c r="A21" s="6"/>
      <c r="B21" s="6"/>
      <c r="C21" s="10"/>
      <c r="D21" s="10"/>
      <c r="E21" s="6"/>
      <c r="F21" s="7" t="str">
        <f aca="false">IF(A21="","",SUMIFS(Приход!$C$2:$C$1000,Приход!$B$2:$B$1000,A21))</f>
        <v/>
      </c>
      <c r="G21" s="7" t="str">
        <f aca="false">IF(A21="","",SUMIFS(Продажи!$F$2:$F$1000,Продажи!$D$2:$D$1000,A21))</f>
        <v/>
      </c>
      <c r="H21" s="7" t="str">
        <f aca="false">IF(A21="","",E21+F21-G21)</f>
        <v/>
      </c>
      <c r="I21" s="6"/>
      <c r="J21" s="7" t="str">
        <f aca="false">IF(A21="","",IF(H21&lt;=I21,"Заказать","ОК"))</f>
        <v/>
      </c>
    </row>
    <row r="22" customFormat="false" ht="15" hidden="false" customHeight="false" outlineLevel="0" collapsed="false">
      <c r="A22" s="6"/>
      <c r="B22" s="6"/>
      <c r="C22" s="10"/>
      <c r="D22" s="10"/>
      <c r="E22" s="6"/>
      <c r="F22" s="7" t="str">
        <f aca="false">IF(A22="","",SUMIFS(Приход!$C$2:$C$1000,Приход!$B$2:$B$1000,A22))</f>
        <v/>
      </c>
      <c r="G22" s="7" t="str">
        <f aca="false">IF(A22="","",SUMIFS(Продажи!$F$2:$F$1000,Продажи!$D$2:$D$1000,A22))</f>
        <v/>
      </c>
      <c r="H22" s="7" t="str">
        <f aca="false">IF(A22="","",E22+F22-G22)</f>
        <v/>
      </c>
      <c r="I22" s="6"/>
      <c r="J22" s="7" t="str">
        <f aca="false">IF(A22="","",IF(H22&lt;=I22,"Заказать","ОК"))</f>
        <v/>
      </c>
    </row>
    <row r="23" customFormat="false" ht="15" hidden="false" customHeight="false" outlineLevel="0" collapsed="false">
      <c r="A23" s="6"/>
      <c r="B23" s="6"/>
      <c r="C23" s="10"/>
      <c r="D23" s="10"/>
      <c r="E23" s="6"/>
      <c r="F23" s="7" t="str">
        <f aca="false">IF(A23="","",SUMIFS(Приход!$C$2:$C$1000,Приход!$B$2:$B$1000,A23))</f>
        <v/>
      </c>
      <c r="G23" s="7" t="str">
        <f aca="false">IF(A23="","",SUMIFS(Продажи!$F$2:$F$1000,Продажи!$D$2:$D$1000,A23))</f>
        <v/>
      </c>
      <c r="H23" s="7" t="str">
        <f aca="false">IF(A23="","",E23+F23-G23)</f>
        <v/>
      </c>
      <c r="I23" s="6"/>
      <c r="J23" s="7" t="str">
        <f aca="false">IF(A23="","",IF(H23&lt;=I23,"Заказать","ОК"))</f>
        <v/>
      </c>
    </row>
    <row r="24" customFormat="false" ht="15" hidden="false" customHeight="false" outlineLevel="0" collapsed="false">
      <c r="A24" s="6"/>
      <c r="B24" s="6"/>
      <c r="C24" s="10"/>
      <c r="D24" s="10"/>
      <c r="E24" s="6"/>
      <c r="F24" s="7" t="str">
        <f aca="false">IF(A24="","",SUMIFS(Приход!$C$2:$C$1000,Приход!$B$2:$B$1000,A24))</f>
        <v/>
      </c>
      <c r="G24" s="7" t="str">
        <f aca="false">IF(A24="","",SUMIFS(Продажи!$F$2:$F$1000,Продажи!$D$2:$D$1000,A24))</f>
        <v/>
      </c>
      <c r="H24" s="7" t="str">
        <f aca="false">IF(A24="","",E24+F24-G24)</f>
        <v/>
      </c>
      <c r="I24" s="6"/>
      <c r="J24" s="7" t="str">
        <f aca="false">IF(A24="","",IF(H24&lt;=I24,"Заказать","ОК"))</f>
        <v/>
      </c>
    </row>
    <row r="25" customFormat="false" ht="15" hidden="false" customHeight="false" outlineLevel="0" collapsed="false">
      <c r="A25" s="6"/>
      <c r="B25" s="6"/>
      <c r="C25" s="10"/>
      <c r="D25" s="10"/>
      <c r="E25" s="6"/>
      <c r="F25" s="7" t="str">
        <f aca="false">IF(A25="","",SUMIFS(Приход!$C$2:$C$1000,Приход!$B$2:$B$1000,A25))</f>
        <v/>
      </c>
      <c r="G25" s="7" t="str">
        <f aca="false">IF(A25="","",SUMIFS(Продажи!$F$2:$F$1000,Продажи!$D$2:$D$1000,A25))</f>
        <v/>
      </c>
      <c r="H25" s="7" t="str">
        <f aca="false">IF(A25="","",E25+F25-G25)</f>
        <v/>
      </c>
      <c r="I25" s="6"/>
      <c r="J25" s="7" t="str">
        <f aca="false">IF(A25="","",IF(H25&lt;=I25,"Заказать","ОК"))</f>
        <v/>
      </c>
    </row>
    <row r="26" customFormat="false" ht="15" hidden="false" customHeight="false" outlineLevel="0" collapsed="false">
      <c r="A26" s="6"/>
      <c r="B26" s="6"/>
      <c r="C26" s="10"/>
      <c r="D26" s="10"/>
      <c r="E26" s="6"/>
      <c r="F26" s="7" t="str">
        <f aca="false">IF(A26="","",SUMIFS(Приход!$C$2:$C$1000,Приход!$B$2:$B$1000,A26))</f>
        <v/>
      </c>
      <c r="G26" s="7" t="str">
        <f aca="false">IF(A26="","",SUMIFS(Продажи!$F$2:$F$1000,Продажи!$D$2:$D$1000,A26))</f>
        <v/>
      </c>
      <c r="H26" s="7" t="str">
        <f aca="false">IF(A26="","",E26+F26-G26)</f>
        <v/>
      </c>
      <c r="I26" s="6"/>
      <c r="J26" s="7" t="str">
        <f aca="false">IF(A26="","",IF(H26&lt;=I26,"Заказать","ОК"))</f>
        <v/>
      </c>
    </row>
    <row r="27" customFormat="false" ht="15" hidden="false" customHeight="false" outlineLevel="0" collapsed="false">
      <c r="A27" s="6"/>
      <c r="B27" s="6"/>
      <c r="C27" s="10"/>
      <c r="D27" s="10"/>
      <c r="E27" s="6"/>
      <c r="F27" s="7" t="str">
        <f aca="false">IF(A27="","",SUMIFS(Приход!$C$2:$C$1000,Приход!$B$2:$B$1000,A27))</f>
        <v/>
      </c>
      <c r="G27" s="7" t="str">
        <f aca="false">IF(A27="","",SUMIFS(Продажи!$F$2:$F$1000,Продажи!$D$2:$D$1000,A27))</f>
        <v/>
      </c>
      <c r="H27" s="7" t="str">
        <f aca="false">IF(A27="","",E27+F27-G27)</f>
        <v/>
      </c>
      <c r="I27" s="6"/>
      <c r="J27" s="7" t="str">
        <f aca="false">IF(A27="","",IF(H27&lt;=I27,"Заказать","ОК"))</f>
        <v/>
      </c>
    </row>
    <row r="28" customFormat="false" ht="15" hidden="false" customHeight="false" outlineLevel="0" collapsed="false">
      <c r="A28" s="6"/>
      <c r="B28" s="6"/>
      <c r="C28" s="10"/>
      <c r="D28" s="10"/>
      <c r="E28" s="6"/>
      <c r="F28" s="7" t="str">
        <f aca="false">IF(A28="","",SUMIFS(Приход!$C$2:$C$1000,Приход!$B$2:$B$1000,A28))</f>
        <v/>
      </c>
      <c r="G28" s="7" t="str">
        <f aca="false">IF(A28="","",SUMIFS(Продажи!$F$2:$F$1000,Продажи!$D$2:$D$1000,A28))</f>
        <v/>
      </c>
      <c r="H28" s="7" t="str">
        <f aca="false">IF(A28="","",E28+F28-G28)</f>
        <v/>
      </c>
      <c r="I28" s="6"/>
      <c r="J28" s="7" t="str">
        <f aca="false">IF(A28="","",IF(H28&lt;=I28,"Заказать","ОК"))</f>
        <v/>
      </c>
    </row>
    <row r="29" customFormat="false" ht="15" hidden="false" customHeight="false" outlineLevel="0" collapsed="false">
      <c r="A29" s="6"/>
      <c r="B29" s="6"/>
      <c r="C29" s="10"/>
      <c r="D29" s="10"/>
      <c r="E29" s="6"/>
      <c r="F29" s="7" t="str">
        <f aca="false">IF(A29="","",SUMIFS(Приход!$C$2:$C$1000,Приход!$B$2:$B$1000,A29))</f>
        <v/>
      </c>
      <c r="G29" s="7" t="str">
        <f aca="false">IF(A29="","",SUMIFS(Продажи!$F$2:$F$1000,Продажи!$D$2:$D$1000,A29))</f>
        <v/>
      </c>
      <c r="H29" s="7" t="str">
        <f aca="false">IF(A29="","",E29+F29-G29)</f>
        <v/>
      </c>
      <c r="I29" s="6"/>
      <c r="J29" s="7" t="str">
        <f aca="false">IF(A29="","",IF(H29&lt;=I29,"Заказать","ОК"))</f>
        <v/>
      </c>
    </row>
    <row r="30" customFormat="false" ht="15" hidden="false" customHeight="false" outlineLevel="0" collapsed="false">
      <c r="A30" s="6"/>
      <c r="B30" s="6"/>
      <c r="C30" s="10"/>
      <c r="D30" s="10"/>
      <c r="E30" s="6"/>
      <c r="F30" s="7" t="str">
        <f aca="false">IF(A30="","",SUMIFS(Приход!$C$2:$C$1000,Приход!$B$2:$B$1000,A30))</f>
        <v/>
      </c>
      <c r="G30" s="7" t="str">
        <f aca="false">IF(A30="","",SUMIFS(Продажи!$F$2:$F$1000,Продажи!$D$2:$D$1000,A30))</f>
        <v/>
      </c>
      <c r="H30" s="7" t="str">
        <f aca="false">IF(A30="","",E30+F30-G30)</f>
        <v/>
      </c>
      <c r="I30" s="6"/>
      <c r="J30" s="7" t="str">
        <f aca="false">IF(A30="","",IF(H30&lt;=I30,"Заказать","ОК"))</f>
        <v/>
      </c>
    </row>
    <row r="31" customFormat="false" ht="15" hidden="false" customHeight="false" outlineLevel="0" collapsed="false">
      <c r="A31" s="6"/>
      <c r="B31" s="6"/>
      <c r="C31" s="10"/>
      <c r="D31" s="10"/>
      <c r="E31" s="6"/>
      <c r="F31" s="7" t="str">
        <f aca="false">IF(A31="","",SUMIFS(Приход!$C$2:$C$1000,Приход!$B$2:$B$1000,A31))</f>
        <v/>
      </c>
      <c r="G31" s="7" t="str">
        <f aca="false">IF(A31="","",SUMIFS(Продажи!$F$2:$F$1000,Продажи!$D$2:$D$1000,A31))</f>
        <v/>
      </c>
      <c r="H31" s="7" t="str">
        <f aca="false">IF(A31="","",E31+F31-G31)</f>
        <v/>
      </c>
      <c r="I31" s="6"/>
      <c r="J31" s="7" t="str">
        <f aca="false">IF(A31="","",IF(H31&lt;=I31,"Заказать","ОК"))</f>
        <v/>
      </c>
    </row>
    <row r="32" customFormat="false" ht="15" hidden="false" customHeight="false" outlineLevel="0" collapsed="false">
      <c r="A32" s="6"/>
      <c r="B32" s="6"/>
      <c r="C32" s="10"/>
      <c r="D32" s="10"/>
      <c r="E32" s="6"/>
      <c r="F32" s="7" t="str">
        <f aca="false">IF(A32="","",SUMIFS(Приход!$C$2:$C$1000,Приход!$B$2:$B$1000,A32))</f>
        <v/>
      </c>
      <c r="G32" s="7" t="str">
        <f aca="false">IF(A32="","",SUMIFS(Продажи!$F$2:$F$1000,Продажи!$D$2:$D$1000,A32))</f>
        <v/>
      </c>
      <c r="H32" s="7" t="str">
        <f aca="false">IF(A32="","",E32+F32-G32)</f>
        <v/>
      </c>
      <c r="I32" s="6"/>
      <c r="J32" s="7" t="str">
        <f aca="false">IF(A32="","",IF(H32&lt;=I32,"Заказать","ОК"))</f>
        <v/>
      </c>
    </row>
    <row r="33" customFormat="false" ht="15" hidden="false" customHeight="false" outlineLevel="0" collapsed="false">
      <c r="A33" s="6"/>
      <c r="B33" s="6"/>
      <c r="C33" s="10"/>
      <c r="D33" s="10"/>
      <c r="E33" s="6"/>
      <c r="F33" s="7" t="str">
        <f aca="false">IF(A33="","",SUMIFS(Приход!$C$2:$C$1000,Приход!$B$2:$B$1000,A33))</f>
        <v/>
      </c>
      <c r="G33" s="7" t="str">
        <f aca="false">IF(A33="","",SUMIFS(Продажи!$F$2:$F$1000,Продажи!$D$2:$D$1000,A33))</f>
        <v/>
      </c>
      <c r="H33" s="7" t="str">
        <f aca="false">IF(A33="","",E33+F33-G33)</f>
        <v/>
      </c>
      <c r="I33" s="6"/>
      <c r="J33" s="7" t="str">
        <f aca="false">IF(A33="","",IF(H33&lt;=I33,"Заказать","ОК"))</f>
        <v/>
      </c>
    </row>
    <row r="34" customFormat="false" ht="15" hidden="false" customHeight="false" outlineLevel="0" collapsed="false">
      <c r="A34" s="6"/>
      <c r="B34" s="6"/>
      <c r="C34" s="10"/>
      <c r="D34" s="10"/>
      <c r="E34" s="6"/>
      <c r="F34" s="7" t="str">
        <f aca="false">IF(A34="","",SUMIFS(Приход!$C$2:$C$1000,Приход!$B$2:$B$1000,A34))</f>
        <v/>
      </c>
      <c r="G34" s="7" t="str">
        <f aca="false">IF(A34="","",SUMIFS(Продажи!$F$2:$F$1000,Продажи!$D$2:$D$1000,A34))</f>
        <v/>
      </c>
      <c r="H34" s="7" t="str">
        <f aca="false">IF(A34="","",E34+F34-G34)</f>
        <v/>
      </c>
      <c r="I34" s="6"/>
      <c r="J34" s="7" t="str">
        <f aca="false">IF(A34="","",IF(H34&lt;=I34,"Заказать","ОК"))</f>
        <v/>
      </c>
    </row>
    <row r="35" customFormat="false" ht="15" hidden="false" customHeight="false" outlineLevel="0" collapsed="false">
      <c r="A35" s="6"/>
      <c r="B35" s="6"/>
      <c r="C35" s="10"/>
      <c r="D35" s="10"/>
      <c r="E35" s="6"/>
      <c r="F35" s="7" t="str">
        <f aca="false">IF(A35="","",SUMIFS(Приход!$C$2:$C$1000,Приход!$B$2:$B$1000,A35))</f>
        <v/>
      </c>
      <c r="G35" s="7" t="str">
        <f aca="false">IF(A35="","",SUMIFS(Продажи!$F$2:$F$1000,Продажи!$D$2:$D$1000,A35))</f>
        <v/>
      </c>
      <c r="H35" s="7" t="str">
        <f aca="false">IF(A35="","",E35+F35-G35)</f>
        <v/>
      </c>
      <c r="I35" s="6"/>
      <c r="J35" s="7" t="str">
        <f aca="false">IF(A35="","",IF(H35&lt;=I35,"Заказать","ОК"))</f>
        <v/>
      </c>
    </row>
    <row r="36" customFormat="false" ht="15" hidden="false" customHeight="false" outlineLevel="0" collapsed="false">
      <c r="A36" s="6"/>
      <c r="B36" s="6"/>
      <c r="C36" s="10"/>
      <c r="D36" s="10"/>
      <c r="E36" s="6"/>
      <c r="F36" s="7" t="str">
        <f aca="false">IF(A36="","",SUMIFS(Приход!$C$2:$C$1000,Приход!$B$2:$B$1000,A36))</f>
        <v/>
      </c>
      <c r="G36" s="7" t="str">
        <f aca="false">IF(A36="","",SUMIFS(Продажи!$F$2:$F$1000,Продажи!$D$2:$D$1000,A36))</f>
        <v/>
      </c>
      <c r="H36" s="7" t="str">
        <f aca="false">IF(A36="","",E36+F36-G36)</f>
        <v/>
      </c>
      <c r="I36" s="6"/>
      <c r="J36" s="7" t="str">
        <f aca="false">IF(A36="","",IF(H36&lt;=I36,"Заказать","ОК"))</f>
        <v/>
      </c>
    </row>
    <row r="37" customFormat="false" ht="15" hidden="false" customHeight="false" outlineLevel="0" collapsed="false">
      <c r="A37" s="6"/>
      <c r="B37" s="6"/>
      <c r="C37" s="10"/>
      <c r="D37" s="10"/>
      <c r="E37" s="6"/>
      <c r="F37" s="7" t="str">
        <f aca="false">IF(A37="","",SUMIFS(Приход!$C$2:$C$1000,Приход!$B$2:$B$1000,A37))</f>
        <v/>
      </c>
      <c r="G37" s="7" t="str">
        <f aca="false">IF(A37="","",SUMIFS(Продажи!$F$2:$F$1000,Продажи!$D$2:$D$1000,A37))</f>
        <v/>
      </c>
      <c r="H37" s="7" t="str">
        <f aca="false">IF(A37="","",E37+F37-G37)</f>
        <v/>
      </c>
      <c r="I37" s="6"/>
      <c r="J37" s="7" t="str">
        <f aca="false">IF(A37="","",IF(H37&lt;=I37,"Заказать","ОК"))</f>
        <v/>
      </c>
    </row>
    <row r="38" customFormat="false" ht="15" hidden="false" customHeight="false" outlineLevel="0" collapsed="false">
      <c r="A38" s="6"/>
      <c r="B38" s="6"/>
      <c r="C38" s="10"/>
      <c r="D38" s="10"/>
      <c r="E38" s="6"/>
      <c r="F38" s="7" t="str">
        <f aca="false">IF(A38="","",SUMIFS(Приход!$C$2:$C$1000,Приход!$B$2:$B$1000,A38))</f>
        <v/>
      </c>
      <c r="G38" s="7" t="str">
        <f aca="false">IF(A38="","",SUMIFS(Продажи!$F$2:$F$1000,Продажи!$D$2:$D$1000,A38))</f>
        <v/>
      </c>
      <c r="H38" s="7" t="str">
        <f aca="false">IF(A38="","",E38+F38-G38)</f>
        <v/>
      </c>
      <c r="I38" s="6"/>
      <c r="J38" s="7" t="str">
        <f aca="false">IF(A38="","",IF(H38&lt;=I38,"Заказать","ОК"))</f>
        <v/>
      </c>
    </row>
    <row r="39" customFormat="false" ht="15" hidden="false" customHeight="false" outlineLevel="0" collapsed="false">
      <c r="A39" s="6"/>
      <c r="B39" s="6"/>
      <c r="C39" s="10"/>
      <c r="D39" s="10"/>
      <c r="E39" s="6"/>
      <c r="F39" s="7" t="str">
        <f aca="false">IF(A39="","",SUMIFS(Приход!$C$2:$C$1000,Приход!$B$2:$B$1000,A39))</f>
        <v/>
      </c>
      <c r="G39" s="7" t="str">
        <f aca="false">IF(A39="","",SUMIFS(Продажи!$F$2:$F$1000,Продажи!$D$2:$D$1000,A39))</f>
        <v/>
      </c>
      <c r="H39" s="7" t="str">
        <f aca="false">IF(A39="","",E39+F39-G39)</f>
        <v/>
      </c>
      <c r="I39" s="6"/>
      <c r="J39" s="7" t="str">
        <f aca="false">IF(A39="","",IF(H39&lt;=I39,"Заказать","ОК"))</f>
        <v/>
      </c>
    </row>
    <row r="40" customFormat="false" ht="15" hidden="false" customHeight="false" outlineLevel="0" collapsed="false">
      <c r="A40" s="6"/>
      <c r="B40" s="6"/>
      <c r="C40" s="10"/>
      <c r="D40" s="10"/>
      <c r="E40" s="6"/>
      <c r="F40" s="7" t="str">
        <f aca="false">IF(A40="","",SUMIFS(Приход!$C$2:$C$1000,Приход!$B$2:$B$1000,A40))</f>
        <v/>
      </c>
      <c r="G40" s="7" t="str">
        <f aca="false">IF(A40="","",SUMIFS(Продажи!$F$2:$F$1000,Продажи!$D$2:$D$1000,A40))</f>
        <v/>
      </c>
      <c r="H40" s="7" t="str">
        <f aca="false">IF(A40="","",E40+F40-G40)</f>
        <v/>
      </c>
      <c r="I40" s="6"/>
      <c r="J40" s="7" t="str">
        <f aca="false">IF(A40="","",IF(H40&lt;=I40,"Заказать","ОК"))</f>
        <v/>
      </c>
    </row>
    <row r="41" customFormat="false" ht="15" hidden="false" customHeight="false" outlineLevel="0" collapsed="false">
      <c r="A41" s="6"/>
      <c r="B41" s="6"/>
      <c r="C41" s="10"/>
      <c r="D41" s="10"/>
      <c r="E41" s="6"/>
      <c r="F41" s="7" t="str">
        <f aca="false">IF(A41="","",SUMIFS(Приход!$C$2:$C$1000,Приход!$B$2:$B$1000,A41))</f>
        <v/>
      </c>
      <c r="G41" s="7" t="str">
        <f aca="false">IF(A41="","",SUMIFS(Продажи!$F$2:$F$1000,Продажи!$D$2:$D$1000,A41))</f>
        <v/>
      </c>
      <c r="H41" s="7" t="str">
        <f aca="false">IF(A41="","",E41+F41-G41)</f>
        <v/>
      </c>
      <c r="I41" s="6"/>
      <c r="J41" s="7" t="str">
        <f aca="false">IF(A41="","",IF(H41&lt;=I41,"Заказать","ОК"))</f>
        <v/>
      </c>
    </row>
    <row r="42" customFormat="false" ht="15" hidden="false" customHeight="false" outlineLevel="0" collapsed="false">
      <c r="A42" s="6"/>
      <c r="B42" s="6"/>
      <c r="C42" s="10"/>
      <c r="D42" s="10"/>
      <c r="E42" s="6"/>
      <c r="F42" s="7" t="str">
        <f aca="false">IF(A42="","",SUMIFS(Приход!$C$2:$C$1000,Приход!$B$2:$B$1000,A42))</f>
        <v/>
      </c>
      <c r="G42" s="7" t="str">
        <f aca="false">IF(A42="","",SUMIFS(Продажи!$F$2:$F$1000,Продажи!$D$2:$D$1000,A42))</f>
        <v/>
      </c>
      <c r="H42" s="7" t="str">
        <f aca="false">IF(A42="","",E42+F42-G42)</f>
        <v/>
      </c>
      <c r="I42" s="6"/>
      <c r="J42" s="7" t="str">
        <f aca="false">IF(A42="","",IF(H42&lt;=I42,"Заказать","ОК"))</f>
        <v/>
      </c>
    </row>
    <row r="43" customFormat="false" ht="15" hidden="false" customHeight="false" outlineLevel="0" collapsed="false">
      <c r="A43" s="6"/>
      <c r="B43" s="6"/>
      <c r="C43" s="10"/>
      <c r="D43" s="10"/>
      <c r="E43" s="6"/>
      <c r="F43" s="7" t="str">
        <f aca="false">IF(A43="","",SUMIFS(Приход!$C$2:$C$1000,Приход!$B$2:$B$1000,A43))</f>
        <v/>
      </c>
      <c r="G43" s="7" t="str">
        <f aca="false">IF(A43="","",SUMIFS(Продажи!$F$2:$F$1000,Продажи!$D$2:$D$1000,A43))</f>
        <v/>
      </c>
      <c r="H43" s="7" t="str">
        <f aca="false">IF(A43="","",E43+F43-G43)</f>
        <v/>
      </c>
      <c r="I43" s="6"/>
      <c r="J43" s="7" t="str">
        <f aca="false">IF(A43="","",IF(H43&lt;=I43,"Заказать","ОК"))</f>
        <v/>
      </c>
    </row>
    <row r="44" customFormat="false" ht="15" hidden="false" customHeight="false" outlineLevel="0" collapsed="false">
      <c r="A44" s="6"/>
      <c r="B44" s="6"/>
      <c r="C44" s="10"/>
      <c r="D44" s="10"/>
      <c r="E44" s="6"/>
      <c r="F44" s="7" t="str">
        <f aca="false">IF(A44="","",SUMIFS(Приход!$C$2:$C$1000,Приход!$B$2:$B$1000,A44))</f>
        <v/>
      </c>
      <c r="G44" s="7" t="str">
        <f aca="false">IF(A44="","",SUMIFS(Продажи!$F$2:$F$1000,Продажи!$D$2:$D$1000,A44))</f>
        <v/>
      </c>
      <c r="H44" s="7" t="str">
        <f aca="false">IF(A44="","",E44+F44-G44)</f>
        <v/>
      </c>
      <c r="I44" s="6"/>
      <c r="J44" s="7" t="str">
        <f aca="false">IF(A44="","",IF(H44&lt;=I44,"Заказать","ОК"))</f>
        <v/>
      </c>
    </row>
    <row r="45" customFormat="false" ht="15" hidden="false" customHeight="false" outlineLevel="0" collapsed="false">
      <c r="A45" s="6"/>
      <c r="B45" s="6"/>
      <c r="C45" s="10"/>
      <c r="D45" s="10"/>
      <c r="E45" s="6"/>
      <c r="F45" s="7" t="str">
        <f aca="false">IF(A45="","",SUMIFS(Приход!$C$2:$C$1000,Приход!$B$2:$B$1000,A45))</f>
        <v/>
      </c>
      <c r="G45" s="7" t="str">
        <f aca="false">IF(A45="","",SUMIFS(Продажи!$F$2:$F$1000,Продажи!$D$2:$D$1000,A45))</f>
        <v/>
      </c>
      <c r="H45" s="7" t="str">
        <f aca="false">IF(A45="","",E45+F45-G45)</f>
        <v/>
      </c>
      <c r="I45" s="6"/>
      <c r="J45" s="7" t="str">
        <f aca="false">IF(A45="","",IF(H45&lt;=I45,"Заказать","ОК"))</f>
        <v/>
      </c>
    </row>
    <row r="46" customFormat="false" ht="15" hidden="false" customHeight="false" outlineLevel="0" collapsed="false">
      <c r="A46" s="6"/>
      <c r="B46" s="6"/>
      <c r="C46" s="10"/>
      <c r="D46" s="10"/>
      <c r="E46" s="6"/>
      <c r="F46" s="7" t="str">
        <f aca="false">IF(A46="","",SUMIFS(Приход!$C$2:$C$1000,Приход!$B$2:$B$1000,A46))</f>
        <v/>
      </c>
      <c r="G46" s="7" t="str">
        <f aca="false">IF(A46="","",SUMIFS(Продажи!$F$2:$F$1000,Продажи!$D$2:$D$1000,A46))</f>
        <v/>
      </c>
      <c r="H46" s="7" t="str">
        <f aca="false">IF(A46="","",E46+F46-G46)</f>
        <v/>
      </c>
      <c r="I46" s="6"/>
      <c r="J46" s="7" t="str">
        <f aca="false">IF(A46="","",IF(H46&lt;=I46,"Заказать","ОК"))</f>
        <v/>
      </c>
    </row>
    <row r="47" customFormat="false" ht="15" hidden="false" customHeight="false" outlineLevel="0" collapsed="false">
      <c r="A47" s="6"/>
      <c r="B47" s="6"/>
      <c r="C47" s="10"/>
      <c r="D47" s="10"/>
      <c r="E47" s="6"/>
      <c r="F47" s="7" t="str">
        <f aca="false">IF(A47="","",SUMIFS(Приход!$C$2:$C$1000,Приход!$B$2:$B$1000,A47))</f>
        <v/>
      </c>
      <c r="G47" s="7" t="str">
        <f aca="false">IF(A47="","",SUMIFS(Продажи!$F$2:$F$1000,Продажи!$D$2:$D$1000,A47))</f>
        <v/>
      </c>
      <c r="H47" s="7" t="str">
        <f aca="false">IF(A47="","",E47+F47-G47)</f>
        <v/>
      </c>
      <c r="I47" s="6"/>
      <c r="J47" s="7" t="str">
        <f aca="false">IF(A47="","",IF(H47&lt;=I47,"Заказать","ОК"))</f>
        <v/>
      </c>
    </row>
    <row r="48" customFormat="false" ht="15" hidden="false" customHeight="false" outlineLevel="0" collapsed="false">
      <c r="A48" s="6"/>
      <c r="B48" s="6"/>
      <c r="C48" s="10"/>
      <c r="D48" s="10"/>
      <c r="E48" s="6"/>
      <c r="F48" s="7" t="str">
        <f aca="false">IF(A48="","",SUMIFS(Приход!$C$2:$C$1000,Приход!$B$2:$B$1000,A48))</f>
        <v/>
      </c>
      <c r="G48" s="7" t="str">
        <f aca="false">IF(A48="","",SUMIFS(Продажи!$F$2:$F$1000,Продажи!$D$2:$D$1000,A48))</f>
        <v/>
      </c>
      <c r="H48" s="7" t="str">
        <f aca="false">IF(A48="","",E48+F48-G48)</f>
        <v/>
      </c>
      <c r="I48" s="6"/>
      <c r="J48" s="7" t="str">
        <f aca="false">IF(A48="","",IF(H48&lt;=I48,"Заказать","ОК"))</f>
        <v/>
      </c>
    </row>
    <row r="49" customFormat="false" ht="15" hidden="false" customHeight="false" outlineLevel="0" collapsed="false">
      <c r="A49" s="6"/>
      <c r="B49" s="6"/>
      <c r="C49" s="10"/>
      <c r="D49" s="10"/>
      <c r="E49" s="6"/>
      <c r="F49" s="7" t="str">
        <f aca="false">IF(A49="","",SUMIFS(Приход!$C$2:$C$1000,Приход!$B$2:$B$1000,A49))</f>
        <v/>
      </c>
      <c r="G49" s="7" t="str">
        <f aca="false">IF(A49="","",SUMIFS(Продажи!$F$2:$F$1000,Продажи!$D$2:$D$1000,A49))</f>
        <v/>
      </c>
      <c r="H49" s="7" t="str">
        <f aca="false">IF(A49="","",E49+F49-G49)</f>
        <v/>
      </c>
      <c r="I49" s="6"/>
      <c r="J49" s="7" t="str">
        <f aca="false">IF(A49="","",IF(H49&lt;=I49,"Заказать","ОК"))</f>
        <v/>
      </c>
    </row>
    <row r="50" customFormat="false" ht="15" hidden="false" customHeight="false" outlineLevel="0" collapsed="false">
      <c r="A50" s="6"/>
      <c r="B50" s="6"/>
      <c r="C50" s="10"/>
      <c r="D50" s="10"/>
      <c r="E50" s="6"/>
      <c r="F50" s="7" t="str">
        <f aca="false">IF(A50="","",SUMIFS(Приход!$C$2:$C$1000,Приход!$B$2:$B$1000,A50))</f>
        <v/>
      </c>
      <c r="G50" s="7" t="str">
        <f aca="false">IF(A50="","",SUMIFS(Продажи!$F$2:$F$1000,Продажи!$D$2:$D$1000,A50))</f>
        <v/>
      </c>
      <c r="H50" s="7" t="str">
        <f aca="false">IF(A50="","",E50+F50-G50)</f>
        <v/>
      </c>
      <c r="I50" s="6"/>
      <c r="J50" s="7" t="str">
        <f aca="false">IF(A50="","",IF(H50&lt;=I50,"Заказать","ОК"))</f>
        <v/>
      </c>
    </row>
    <row r="51" customFormat="false" ht="15" hidden="false" customHeight="false" outlineLevel="0" collapsed="false">
      <c r="A51" s="6"/>
      <c r="B51" s="6"/>
      <c r="C51" s="10"/>
      <c r="D51" s="10"/>
      <c r="E51" s="6"/>
      <c r="F51" s="7" t="str">
        <f aca="false">IF(A51="","",SUMIFS(Приход!$C$2:$C$1000,Приход!$B$2:$B$1000,A51))</f>
        <v/>
      </c>
      <c r="G51" s="7" t="str">
        <f aca="false">IF(A51="","",SUMIFS(Продажи!$F$2:$F$1000,Продажи!$D$2:$D$1000,A51))</f>
        <v/>
      </c>
      <c r="H51" s="7" t="str">
        <f aca="false">IF(A51="","",E51+F51-G51)</f>
        <v/>
      </c>
      <c r="I51" s="6"/>
      <c r="J51" s="7" t="str">
        <f aca="false">IF(A51="","",IF(H51&lt;=I51,"Заказать","ОК"))</f>
        <v/>
      </c>
    </row>
    <row r="52" customFormat="false" ht="15" hidden="false" customHeight="false" outlineLevel="0" collapsed="false">
      <c r="A52" s="6"/>
      <c r="B52" s="6"/>
      <c r="C52" s="10"/>
      <c r="D52" s="10"/>
      <c r="E52" s="6"/>
      <c r="F52" s="7" t="str">
        <f aca="false">IF(A52="","",SUMIFS(Приход!$C$2:$C$1000,Приход!$B$2:$B$1000,A52))</f>
        <v/>
      </c>
      <c r="G52" s="7" t="str">
        <f aca="false">IF(A52="","",SUMIFS(Продажи!$F$2:$F$1000,Продажи!$D$2:$D$1000,A52))</f>
        <v/>
      </c>
      <c r="H52" s="7" t="str">
        <f aca="false">IF(A52="","",E52+F52-G52)</f>
        <v/>
      </c>
      <c r="I52" s="6"/>
      <c r="J52" s="7" t="str">
        <f aca="false">IF(A52="","",IF(H52&lt;=I52,"Заказать","ОК"))</f>
        <v/>
      </c>
    </row>
    <row r="53" customFormat="false" ht="15" hidden="false" customHeight="false" outlineLevel="0" collapsed="false">
      <c r="A53" s="6"/>
      <c r="B53" s="6"/>
      <c r="C53" s="10"/>
      <c r="D53" s="10"/>
      <c r="E53" s="6"/>
      <c r="F53" s="7" t="str">
        <f aca="false">IF(A53="","",SUMIFS(Приход!$C$2:$C$1000,Приход!$B$2:$B$1000,A53))</f>
        <v/>
      </c>
      <c r="G53" s="7" t="str">
        <f aca="false">IF(A53="","",SUMIFS(Продажи!$F$2:$F$1000,Продажи!$D$2:$D$1000,A53))</f>
        <v/>
      </c>
      <c r="H53" s="7" t="str">
        <f aca="false">IF(A53="","",E53+F53-G53)</f>
        <v/>
      </c>
      <c r="I53" s="6"/>
      <c r="J53" s="7" t="str">
        <f aca="false">IF(A53="","",IF(H53&lt;=I53,"Заказать","ОК"))</f>
        <v/>
      </c>
    </row>
    <row r="54" customFormat="false" ht="15" hidden="false" customHeight="false" outlineLevel="0" collapsed="false">
      <c r="A54" s="6"/>
      <c r="B54" s="6"/>
      <c r="C54" s="10"/>
      <c r="D54" s="10"/>
      <c r="E54" s="6"/>
      <c r="F54" s="7" t="str">
        <f aca="false">IF(A54="","",SUMIFS(Приход!$C$2:$C$1000,Приход!$B$2:$B$1000,A54))</f>
        <v/>
      </c>
      <c r="G54" s="7" t="str">
        <f aca="false">IF(A54="","",SUMIFS(Продажи!$F$2:$F$1000,Продажи!$D$2:$D$1000,A54))</f>
        <v/>
      </c>
      <c r="H54" s="7" t="str">
        <f aca="false">IF(A54="","",E54+F54-G54)</f>
        <v/>
      </c>
      <c r="I54" s="6"/>
      <c r="J54" s="7" t="str">
        <f aca="false">IF(A54="","",IF(H54&lt;=I54,"Заказать","ОК"))</f>
        <v/>
      </c>
    </row>
    <row r="55" customFormat="false" ht="15" hidden="false" customHeight="false" outlineLevel="0" collapsed="false">
      <c r="A55" s="6"/>
      <c r="B55" s="6"/>
      <c r="C55" s="10"/>
      <c r="D55" s="10"/>
      <c r="E55" s="6"/>
      <c r="F55" s="7" t="str">
        <f aca="false">IF(A55="","",SUMIFS(Приход!$C$2:$C$1000,Приход!$B$2:$B$1000,A55))</f>
        <v/>
      </c>
      <c r="G55" s="7" t="str">
        <f aca="false">IF(A55="","",SUMIFS(Продажи!$F$2:$F$1000,Продажи!$D$2:$D$1000,A55))</f>
        <v/>
      </c>
      <c r="H55" s="7" t="str">
        <f aca="false">IF(A55="","",E55+F55-G55)</f>
        <v/>
      </c>
      <c r="I55" s="6"/>
      <c r="J55" s="7" t="str">
        <f aca="false">IF(A55="","",IF(H55&lt;=I55,"Заказать","ОК"))</f>
        <v/>
      </c>
    </row>
    <row r="56" customFormat="false" ht="15" hidden="false" customHeight="false" outlineLevel="0" collapsed="false">
      <c r="A56" s="6"/>
      <c r="B56" s="6"/>
      <c r="C56" s="10"/>
      <c r="D56" s="10"/>
      <c r="E56" s="6"/>
      <c r="F56" s="7" t="str">
        <f aca="false">IF(A56="","",SUMIFS(Приход!$C$2:$C$1000,Приход!$B$2:$B$1000,A56))</f>
        <v/>
      </c>
      <c r="G56" s="7" t="str">
        <f aca="false">IF(A56="","",SUMIFS(Продажи!$F$2:$F$1000,Продажи!$D$2:$D$1000,A56))</f>
        <v/>
      </c>
      <c r="H56" s="7" t="str">
        <f aca="false">IF(A56="","",E56+F56-G56)</f>
        <v/>
      </c>
      <c r="I56" s="6"/>
      <c r="J56" s="7" t="str">
        <f aca="false">IF(A56="","",IF(H56&lt;=I56,"Заказать","ОК"))</f>
        <v/>
      </c>
    </row>
    <row r="57" customFormat="false" ht="15" hidden="false" customHeight="false" outlineLevel="0" collapsed="false">
      <c r="A57" s="6"/>
      <c r="B57" s="6"/>
      <c r="C57" s="10"/>
      <c r="D57" s="10"/>
      <c r="E57" s="6"/>
      <c r="F57" s="7" t="str">
        <f aca="false">IF(A57="","",SUMIFS(Приход!$C$2:$C$1000,Приход!$B$2:$B$1000,A57))</f>
        <v/>
      </c>
      <c r="G57" s="7" t="str">
        <f aca="false">IF(A57="","",SUMIFS(Продажи!$F$2:$F$1000,Продажи!$D$2:$D$1000,A57))</f>
        <v/>
      </c>
      <c r="H57" s="7" t="str">
        <f aca="false">IF(A57="","",E57+F57-G57)</f>
        <v/>
      </c>
      <c r="I57" s="6"/>
      <c r="J57" s="7" t="str">
        <f aca="false">IF(A57="","",IF(H57&lt;=I57,"Заказать","ОК"))</f>
        <v/>
      </c>
    </row>
    <row r="58" customFormat="false" ht="15" hidden="false" customHeight="false" outlineLevel="0" collapsed="false">
      <c r="A58" s="6"/>
      <c r="B58" s="6"/>
      <c r="C58" s="10"/>
      <c r="D58" s="10"/>
      <c r="E58" s="6"/>
      <c r="F58" s="7" t="str">
        <f aca="false">IF(A58="","",SUMIFS(Приход!$C$2:$C$1000,Приход!$B$2:$B$1000,A58))</f>
        <v/>
      </c>
      <c r="G58" s="7" t="str">
        <f aca="false">IF(A58="","",SUMIFS(Продажи!$F$2:$F$1000,Продажи!$D$2:$D$1000,A58))</f>
        <v/>
      </c>
      <c r="H58" s="7" t="str">
        <f aca="false">IF(A58="","",E58+F58-G58)</f>
        <v/>
      </c>
      <c r="I58" s="6"/>
      <c r="J58" s="7" t="str">
        <f aca="false">IF(A58="","",IF(H58&lt;=I58,"Заказать","ОК"))</f>
        <v/>
      </c>
    </row>
    <row r="59" customFormat="false" ht="15" hidden="false" customHeight="false" outlineLevel="0" collapsed="false">
      <c r="A59" s="6"/>
      <c r="B59" s="6"/>
      <c r="C59" s="10"/>
      <c r="D59" s="10"/>
      <c r="E59" s="6"/>
      <c r="F59" s="7" t="str">
        <f aca="false">IF(A59="","",SUMIFS(Приход!$C$2:$C$1000,Приход!$B$2:$B$1000,A59))</f>
        <v/>
      </c>
      <c r="G59" s="7" t="str">
        <f aca="false">IF(A59="","",SUMIFS(Продажи!$F$2:$F$1000,Продажи!$D$2:$D$1000,A59))</f>
        <v/>
      </c>
      <c r="H59" s="7" t="str">
        <f aca="false">IF(A59="","",E59+F59-G59)</f>
        <v/>
      </c>
      <c r="I59" s="6"/>
      <c r="J59" s="7" t="str">
        <f aca="false">IF(A59="","",IF(H59&lt;=I59,"Заказать","ОК"))</f>
        <v/>
      </c>
    </row>
    <row r="60" customFormat="false" ht="15" hidden="false" customHeight="false" outlineLevel="0" collapsed="false">
      <c r="A60" s="6"/>
      <c r="B60" s="6"/>
      <c r="C60" s="10"/>
      <c r="D60" s="10"/>
      <c r="E60" s="6"/>
      <c r="F60" s="7" t="str">
        <f aca="false">IF(A60="","",SUMIFS(Приход!$C$2:$C$1000,Приход!$B$2:$B$1000,A60))</f>
        <v/>
      </c>
      <c r="G60" s="7" t="str">
        <f aca="false">IF(A60="","",SUMIFS(Продажи!$F$2:$F$1000,Продажи!$D$2:$D$1000,A60))</f>
        <v/>
      </c>
      <c r="H60" s="7" t="str">
        <f aca="false">IF(A60="","",E60+F60-G60)</f>
        <v/>
      </c>
      <c r="I60" s="6"/>
      <c r="J60" s="7" t="str">
        <f aca="false">IF(A60="","",IF(H60&lt;=I60,"Заказать","ОК"))</f>
        <v/>
      </c>
    </row>
    <row r="61" customFormat="false" ht="15" hidden="false" customHeight="false" outlineLevel="0" collapsed="false">
      <c r="A61" s="6"/>
      <c r="B61" s="6"/>
      <c r="C61" s="10"/>
      <c r="D61" s="10"/>
      <c r="E61" s="6"/>
      <c r="F61" s="7" t="str">
        <f aca="false">IF(A61="","",SUMIFS(Приход!$C$2:$C$1000,Приход!$B$2:$B$1000,A61))</f>
        <v/>
      </c>
      <c r="G61" s="7" t="str">
        <f aca="false">IF(A61="","",SUMIFS(Продажи!$F$2:$F$1000,Продажи!$D$2:$D$1000,A61))</f>
        <v/>
      </c>
      <c r="H61" s="7" t="str">
        <f aca="false">IF(A61="","",E61+F61-G61)</f>
        <v/>
      </c>
      <c r="I61" s="6"/>
      <c r="J61" s="7" t="str">
        <f aca="false">IF(A61="","",IF(H61&lt;=I61,"Заказать","ОК"))</f>
        <v/>
      </c>
    </row>
    <row r="62" customFormat="false" ht="15" hidden="false" customHeight="false" outlineLevel="0" collapsed="false">
      <c r="A62" s="6"/>
      <c r="B62" s="6"/>
      <c r="C62" s="10"/>
      <c r="D62" s="10"/>
      <c r="E62" s="6"/>
      <c r="F62" s="7" t="str">
        <f aca="false">IF(A62="","",SUMIFS(Приход!$C$2:$C$1000,Приход!$B$2:$B$1000,A62))</f>
        <v/>
      </c>
      <c r="G62" s="7" t="str">
        <f aca="false">IF(A62="","",SUMIFS(Продажи!$F$2:$F$1000,Продажи!$D$2:$D$1000,A62))</f>
        <v/>
      </c>
      <c r="H62" s="7" t="str">
        <f aca="false">IF(A62="","",E62+F62-G62)</f>
        <v/>
      </c>
      <c r="I62" s="6"/>
      <c r="J62" s="7" t="str">
        <f aca="false">IF(A62="","",IF(H62&lt;=I62,"Заказать","ОК"))</f>
        <v/>
      </c>
    </row>
    <row r="63" customFormat="false" ht="15" hidden="false" customHeight="false" outlineLevel="0" collapsed="false">
      <c r="A63" s="6"/>
      <c r="B63" s="6"/>
      <c r="C63" s="10"/>
      <c r="D63" s="10"/>
      <c r="E63" s="6"/>
      <c r="F63" s="7" t="str">
        <f aca="false">IF(A63="","",SUMIFS(Приход!$C$2:$C$1000,Приход!$B$2:$B$1000,A63))</f>
        <v/>
      </c>
      <c r="G63" s="7" t="str">
        <f aca="false">IF(A63="","",SUMIFS(Продажи!$F$2:$F$1000,Продажи!$D$2:$D$1000,A63))</f>
        <v/>
      </c>
      <c r="H63" s="7" t="str">
        <f aca="false">IF(A63="","",E63+F63-G63)</f>
        <v/>
      </c>
      <c r="I63" s="6"/>
      <c r="J63" s="7" t="str">
        <f aca="false">IF(A63="","",IF(H63&lt;=I63,"Заказать","ОК"))</f>
        <v/>
      </c>
    </row>
    <row r="64" customFormat="false" ht="15" hidden="false" customHeight="false" outlineLevel="0" collapsed="false">
      <c r="A64" s="6"/>
      <c r="B64" s="6"/>
      <c r="C64" s="10"/>
      <c r="D64" s="10"/>
      <c r="E64" s="6"/>
      <c r="F64" s="7" t="str">
        <f aca="false">IF(A64="","",SUMIFS(Приход!$C$2:$C$1000,Приход!$B$2:$B$1000,A64))</f>
        <v/>
      </c>
      <c r="G64" s="7" t="str">
        <f aca="false">IF(A64="","",SUMIFS(Продажи!$F$2:$F$1000,Продажи!$D$2:$D$1000,A64))</f>
        <v/>
      </c>
      <c r="H64" s="7" t="str">
        <f aca="false">IF(A64="","",E64+F64-G64)</f>
        <v/>
      </c>
      <c r="I64" s="6"/>
      <c r="J64" s="7" t="str">
        <f aca="false">IF(A64="","",IF(H64&lt;=I64,"Заказать","ОК"))</f>
        <v/>
      </c>
    </row>
    <row r="65" customFormat="false" ht="15" hidden="false" customHeight="false" outlineLevel="0" collapsed="false">
      <c r="A65" s="6"/>
      <c r="B65" s="6"/>
      <c r="C65" s="10"/>
      <c r="D65" s="10"/>
      <c r="E65" s="6"/>
      <c r="F65" s="7" t="str">
        <f aca="false">IF(A65="","",SUMIFS(Приход!$C$2:$C$1000,Приход!$B$2:$B$1000,A65))</f>
        <v/>
      </c>
      <c r="G65" s="7" t="str">
        <f aca="false">IF(A65="","",SUMIFS(Продажи!$F$2:$F$1000,Продажи!$D$2:$D$1000,A65))</f>
        <v/>
      </c>
      <c r="H65" s="7" t="str">
        <f aca="false">IF(A65="","",E65+F65-G65)</f>
        <v/>
      </c>
      <c r="I65" s="6"/>
      <c r="J65" s="7" t="str">
        <f aca="false">IF(A65="","",IF(H65&lt;=I65,"Заказать","ОК"))</f>
        <v/>
      </c>
    </row>
    <row r="66" customFormat="false" ht="15" hidden="false" customHeight="false" outlineLevel="0" collapsed="false">
      <c r="A66" s="6"/>
      <c r="B66" s="6"/>
      <c r="C66" s="10"/>
      <c r="D66" s="10"/>
      <c r="E66" s="6"/>
      <c r="F66" s="7" t="str">
        <f aca="false">IF(A66="","",SUMIFS(Приход!$C$2:$C$1000,Приход!$B$2:$B$1000,A66))</f>
        <v/>
      </c>
      <c r="G66" s="7" t="str">
        <f aca="false">IF(A66="","",SUMIFS(Продажи!$F$2:$F$1000,Продажи!$D$2:$D$1000,A66))</f>
        <v/>
      </c>
      <c r="H66" s="7" t="str">
        <f aca="false">IF(A66="","",E66+F66-G66)</f>
        <v/>
      </c>
      <c r="I66" s="6"/>
      <c r="J66" s="7" t="str">
        <f aca="false">IF(A66="","",IF(H66&lt;=I66,"Заказать","ОК"))</f>
        <v/>
      </c>
    </row>
    <row r="67" customFormat="false" ht="15" hidden="false" customHeight="false" outlineLevel="0" collapsed="false">
      <c r="A67" s="6"/>
      <c r="B67" s="6"/>
      <c r="C67" s="10"/>
      <c r="D67" s="10"/>
      <c r="E67" s="6"/>
      <c r="F67" s="7" t="str">
        <f aca="false">IF(A67="","",SUMIFS(Приход!$C$2:$C$1000,Приход!$B$2:$B$1000,A67))</f>
        <v/>
      </c>
      <c r="G67" s="7" t="str">
        <f aca="false">IF(A67="","",SUMIFS(Продажи!$F$2:$F$1000,Продажи!$D$2:$D$1000,A67))</f>
        <v/>
      </c>
      <c r="H67" s="7" t="str">
        <f aca="false">IF(A67="","",E67+F67-G67)</f>
        <v/>
      </c>
      <c r="I67" s="6"/>
      <c r="J67" s="7" t="str">
        <f aca="false">IF(A67="","",IF(H67&lt;=I67,"Заказать","ОК"))</f>
        <v/>
      </c>
    </row>
    <row r="68" customFormat="false" ht="15" hidden="false" customHeight="false" outlineLevel="0" collapsed="false">
      <c r="A68" s="6"/>
      <c r="B68" s="6"/>
      <c r="C68" s="10"/>
      <c r="D68" s="10"/>
      <c r="E68" s="6"/>
      <c r="F68" s="7" t="str">
        <f aca="false">IF(A68="","",SUMIFS(Приход!$C$2:$C$1000,Приход!$B$2:$B$1000,A68))</f>
        <v/>
      </c>
      <c r="G68" s="7" t="str">
        <f aca="false">IF(A68="","",SUMIFS(Продажи!$F$2:$F$1000,Продажи!$D$2:$D$1000,A68))</f>
        <v/>
      </c>
      <c r="H68" s="7" t="str">
        <f aca="false">IF(A68="","",E68+F68-G68)</f>
        <v/>
      </c>
      <c r="I68" s="6"/>
      <c r="J68" s="7" t="str">
        <f aca="false">IF(A68="","",IF(H68&lt;=I68,"Заказать","ОК"))</f>
        <v/>
      </c>
    </row>
    <row r="69" customFormat="false" ht="15" hidden="false" customHeight="false" outlineLevel="0" collapsed="false">
      <c r="A69" s="6"/>
      <c r="B69" s="6"/>
      <c r="C69" s="10"/>
      <c r="D69" s="10"/>
      <c r="E69" s="6"/>
      <c r="F69" s="7" t="str">
        <f aca="false">IF(A69="","",SUMIFS(Приход!$C$2:$C$1000,Приход!$B$2:$B$1000,A69))</f>
        <v/>
      </c>
      <c r="G69" s="7" t="str">
        <f aca="false">IF(A69="","",SUMIFS(Продажи!$F$2:$F$1000,Продажи!$D$2:$D$1000,A69))</f>
        <v/>
      </c>
      <c r="H69" s="7" t="str">
        <f aca="false">IF(A69="","",E69+F69-G69)</f>
        <v/>
      </c>
      <c r="I69" s="6"/>
      <c r="J69" s="7" t="str">
        <f aca="false">IF(A69="","",IF(H69&lt;=I69,"Заказать","ОК"))</f>
        <v/>
      </c>
    </row>
    <row r="70" customFormat="false" ht="15" hidden="false" customHeight="false" outlineLevel="0" collapsed="false">
      <c r="A70" s="6"/>
      <c r="B70" s="6"/>
      <c r="C70" s="10"/>
      <c r="D70" s="10"/>
      <c r="E70" s="6"/>
      <c r="F70" s="7" t="str">
        <f aca="false">IF(A70="","",SUMIFS(Приход!$C$2:$C$1000,Приход!$B$2:$B$1000,A70))</f>
        <v/>
      </c>
      <c r="G70" s="7" t="str">
        <f aca="false">IF(A70="","",SUMIFS(Продажи!$F$2:$F$1000,Продажи!$D$2:$D$1000,A70))</f>
        <v/>
      </c>
      <c r="H70" s="7" t="str">
        <f aca="false">IF(A70="","",E70+F70-G70)</f>
        <v/>
      </c>
      <c r="I70" s="6"/>
      <c r="J70" s="7" t="str">
        <f aca="false">IF(A70="","",IF(H70&lt;=I70,"Заказать","ОК"))</f>
        <v/>
      </c>
    </row>
    <row r="71" customFormat="false" ht="15" hidden="false" customHeight="false" outlineLevel="0" collapsed="false">
      <c r="A71" s="6"/>
      <c r="B71" s="6"/>
      <c r="C71" s="10"/>
      <c r="D71" s="10"/>
      <c r="E71" s="6"/>
      <c r="F71" s="7" t="str">
        <f aca="false">IF(A71="","",SUMIFS(Приход!$C$2:$C$1000,Приход!$B$2:$B$1000,A71))</f>
        <v/>
      </c>
      <c r="G71" s="7" t="str">
        <f aca="false">IF(A71="","",SUMIFS(Продажи!$F$2:$F$1000,Продажи!$D$2:$D$1000,A71))</f>
        <v/>
      </c>
      <c r="H71" s="7" t="str">
        <f aca="false">IF(A71="","",E71+F71-G71)</f>
        <v/>
      </c>
      <c r="I71" s="6"/>
      <c r="J71" s="7" t="str">
        <f aca="false">IF(A71="","",IF(H71&lt;=I71,"Заказать","ОК"))</f>
        <v/>
      </c>
    </row>
    <row r="72" customFormat="false" ht="15" hidden="false" customHeight="false" outlineLevel="0" collapsed="false">
      <c r="A72" s="6"/>
      <c r="B72" s="6"/>
      <c r="C72" s="10"/>
      <c r="D72" s="10"/>
      <c r="E72" s="6"/>
      <c r="F72" s="7" t="str">
        <f aca="false">IF(A72="","",SUMIFS(Приход!$C$2:$C$1000,Приход!$B$2:$B$1000,A72))</f>
        <v/>
      </c>
      <c r="G72" s="7" t="str">
        <f aca="false">IF(A72="","",SUMIFS(Продажи!$F$2:$F$1000,Продажи!$D$2:$D$1000,A72))</f>
        <v/>
      </c>
      <c r="H72" s="7" t="str">
        <f aca="false">IF(A72="","",E72+F72-G72)</f>
        <v/>
      </c>
      <c r="I72" s="6"/>
      <c r="J72" s="7" t="str">
        <f aca="false">IF(A72="","",IF(H72&lt;=I72,"Заказать","ОК"))</f>
        <v/>
      </c>
    </row>
    <row r="73" customFormat="false" ht="15" hidden="false" customHeight="false" outlineLevel="0" collapsed="false">
      <c r="A73" s="6"/>
      <c r="B73" s="6"/>
      <c r="C73" s="10"/>
      <c r="D73" s="10"/>
      <c r="E73" s="6"/>
      <c r="F73" s="7" t="str">
        <f aca="false">IF(A73="","",SUMIFS(Приход!$C$2:$C$1000,Приход!$B$2:$B$1000,A73))</f>
        <v/>
      </c>
      <c r="G73" s="7" t="str">
        <f aca="false">IF(A73="","",SUMIFS(Продажи!$F$2:$F$1000,Продажи!$D$2:$D$1000,A73))</f>
        <v/>
      </c>
      <c r="H73" s="7" t="str">
        <f aca="false">IF(A73="","",E73+F73-G73)</f>
        <v/>
      </c>
      <c r="I73" s="6"/>
      <c r="J73" s="7" t="str">
        <f aca="false">IF(A73="","",IF(H73&lt;=I73,"Заказать","ОК"))</f>
        <v/>
      </c>
    </row>
    <row r="74" customFormat="false" ht="15" hidden="false" customHeight="false" outlineLevel="0" collapsed="false">
      <c r="A74" s="6"/>
      <c r="B74" s="6"/>
      <c r="C74" s="10"/>
      <c r="D74" s="10"/>
      <c r="E74" s="6"/>
      <c r="F74" s="7" t="str">
        <f aca="false">IF(A74="","",SUMIFS(Приход!$C$2:$C$1000,Приход!$B$2:$B$1000,A74))</f>
        <v/>
      </c>
      <c r="G74" s="7" t="str">
        <f aca="false">IF(A74="","",SUMIFS(Продажи!$F$2:$F$1000,Продажи!$D$2:$D$1000,A74))</f>
        <v/>
      </c>
      <c r="H74" s="7" t="str">
        <f aca="false">IF(A74="","",E74+F74-G74)</f>
        <v/>
      </c>
      <c r="I74" s="6"/>
      <c r="J74" s="7" t="str">
        <f aca="false">IF(A74="","",IF(H74&lt;=I74,"Заказать","ОК"))</f>
        <v/>
      </c>
    </row>
    <row r="75" customFormat="false" ht="15" hidden="false" customHeight="false" outlineLevel="0" collapsed="false">
      <c r="A75" s="6"/>
      <c r="B75" s="6"/>
      <c r="C75" s="10"/>
      <c r="D75" s="10"/>
      <c r="E75" s="6"/>
      <c r="F75" s="7" t="str">
        <f aca="false">IF(A75="","",SUMIFS(Приход!$C$2:$C$1000,Приход!$B$2:$B$1000,A75))</f>
        <v/>
      </c>
      <c r="G75" s="7" t="str">
        <f aca="false">IF(A75="","",SUMIFS(Продажи!$F$2:$F$1000,Продажи!$D$2:$D$1000,A75))</f>
        <v/>
      </c>
      <c r="H75" s="7" t="str">
        <f aca="false">IF(A75="","",E75+F75-G75)</f>
        <v/>
      </c>
      <c r="I75" s="6"/>
      <c r="J75" s="7" t="str">
        <f aca="false">IF(A75="","",IF(H75&lt;=I75,"Заказать","ОК"))</f>
        <v/>
      </c>
    </row>
    <row r="76" customFormat="false" ht="15" hidden="false" customHeight="false" outlineLevel="0" collapsed="false">
      <c r="A76" s="6"/>
      <c r="B76" s="6"/>
      <c r="C76" s="10"/>
      <c r="D76" s="10"/>
      <c r="E76" s="6"/>
      <c r="F76" s="7" t="str">
        <f aca="false">IF(A76="","",SUMIFS(Приход!$C$2:$C$1000,Приход!$B$2:$B$1000,A76))</f>
        <v/>
      </c>
      <c r="G76" s="7" t="str">
        <f aca="false">IF(A76="","",SUMIFS(Продажи!$F$2:$F$1000,Продажи!$D$2:$D$1000,A76))</f>
        <v/>
      </c>
      <c r="H76" s="7" t="str">
        <f aca="false">IF(A76="","",E76+F76-G76)</f>
        <v/>
      </c>
      <c r="I76" s="6"/>
      <c r="J76" s="7" t="str">
        <f aca="false">IF(A76="","",IF(H76&lt;=I76,"Заказать","ОК"))</f>
        <v/>
      </c>
    </row>
    <row r="77" customFormat="false" ht="15" hidden="false" customHeight="false" outlineLevel="0" collapsed="false">
      <c r="A77" s="6"/>
      <c r="B77" s="6"/>
      <c r="C77" s="10"/>
      <c r="D77" s="10"/>
      <c r="E77" s="6"/>
      <c r="F77" s="7" t="str">
        <f aca="false">IF(A77="","",SUMIFS(Приход!$C$2:$C$1000,Приход!$B$2:$B$1000,A77))</f>
        <v/>
      </c>
      <c r="G77" s="7" t="str">
        <f aca="false">IF(A77="","",SUMIFS(Продажи!$F$2:$F$1000,Продажи!$D$2:$D$1000,A77))</f>
        <v/>
      </c>
      <c r="H77" s="7" t="str">
        <f aca="false">IF(A77="","",E77+F77-G77)</f>
        <v/>
      </c>
      <c r="I77" s="6"/>
      <c r="J77" s="7" t="str">
        <f aca="false">IF(A77="","",IF(H77&lt;=I77,"Заказать","ОК"))</f>
        <v/>
      </c>
    </row>
    <row r="78" customFormat="false" ht="15" hidden="false" customHeight="false" outlineLevel="0" collapsed="false">
      <c r="A78" s="6"/>
      <c r="B78" s="6"/>
      <c r="C78" s="10"/>
      <c r="D78" s="10"/>
      <c r="E78" s="6"/>
      <c r="F78" s="7" t="str">
        <f aca="false">IF(A78="","",SUMIFS(Приход!$C$2:$C$1000,Приход!$B$2:$B$1000,A78))</f>
        <v/>
      </c>
      <c r="G78" s="7" t="str">
        <f aca="false">IF(A78="","",SUMIFS(Продажи!$F$2:$F$1000,Продажи!$D$2:$D$1000,A78))</f>
        <v/>
      </c>
      <c r="H78" s="7" t="str">
        <f aca="false">IF(A78="","",E78+F78-G78)</f>
        <v/>
      </c>
      <c r="I78" s="6"/>
      <c r="J78" s="7" t="str">
        <f aca="false">IF(A78="","",IF(H78&lt;=I78,"Заказать","ОК"))</f>
        <v/>
      </c>
    </row>
    <row r="79" customFormat="false" ht="15" hidden="false" customHeight="false" outlineLevel="0" collapsed="false">
      <c r="A79" s="6"/>
      <c r="B79" s="6"/>
      <c r="C79" s="10"/>
      <c r="D79" s="10"/>
      <c r="E79" s="6"/>
      <c r="F79" s="7" t="str">
        <f aca="false">IF(A79="","",SUMIFS(Приход!$C$2:$C$1000,Приход!$B$2:$B$1000,A79))</f>
        <v/>
      </c>
      <c r="G79" s="7" t="str">
        <f aca="false">IF(A79="","",SUMIFS(Продажи!$F$2:$F$1000,Продажи!$D$2:$D$1000,A79))</f>
        <v/>
      </c>
      <c r="H79" s="7" t="str">
        <f aca="false">IF(A79="","",E79+F79-G79)</f>
        <v/>
      </c>
      <c r="I79" s="6"/>
      <c r="J79" s="7" t="str">
        <f aca="false">IF(A79="","",IF(H79&lt;=I79,"Заказать","ОК"))</f>
        <v/>
      </c>
    </row>
    <row r="80" customFormat="false" ht="15" hidden="false" customHeight="false" outlineLevel="0" collapsed="false">
      <c r="A80" s="6"/>
      <c r="B80" s="6"/>
      <c r="C80" s="10"/>
      <c r="D80" s="10"/>
      <c r="E80" s="6"/>
      <c r="F80" s="7" t="str">
        <f aca="false">IF(A80="","",SUMIFS(Приход!$C$2:$C$1000,Приход!$B$2:$B$1000,A80))</f>
        <v/>
      </c>
      <c r="G80" s="7" t="str">
        <f aca="false">IF(A80="","",SUMIFS(Продажи!$F$2:$F$1000,Продажи!$D$2:$D$1000,A80))</f>
        <v/>
      </c>
      <c r="H80" s="7" t="str">
        <f aca="false">IF(A80="","",E80+F80-G80)</f>
        <v/>
      </c>
      <c r="I80" s="6"/>
      <c r="J80" s="7" t="str">
        <f aca="false">IF(A80="","",IF(H80&lt;=I80,"Заказать","ОК"))</f>
        <v/>
      </c>
    </row>
    <row r="81" customFormat="false" ht="15" hidden="false" customHeight="false" outlineLevel="0" collapsed="false">
      <c r="A81" s="6"/>
      <c r="B81" s="6"/>
      <c r="C81" s="10"/>
      <c r="D81" s="10"/>
      <c r="E81" s="6"/>
      <c r="F81" s="7" t="str">
        <f aca="false">IF(A81="","",SUMIFS(Приход!$C$2:$C$1000,Приход!$B$2:$B$1000,A81))</f>
        <v/>
      </c>
      <c r="G81" s="7" t="str">
        <f aca="false">IF(A81="","",SUMIFS(Продажи!$F$2:$F$1000,Продажи!$D$2:$D$1000,A81))</f>
        <v/>
      </c>
      <c r="H81" s="7" t="str">
        <f aca="false">IF(A81="","",E81+F81-G81)</f>
        <v/>
      </c>
      <c r="I81" s="6"/>
      <c r="J81" s="7" t="str">
        <f aca="false">IF(A81="","",IF(H81&lt;=I81,"Заказать","ОК"))</f>
        <v/>
      </c>
    </row>
    <row r="82" customFormat="false" ht="15" hidden="false" customHeight="false" outlineLevel="0" collapsed="false">
      <c r="A82" s="6"/>
      <c r="B82" s="6"/>
      <c r="C82" s="10"/>
      <c r="D82" s="10"/>
      <c r="E82" s="6"/>
      <c r="F82" s="7" t="str">
        <f aca="false">IF(A82="","",SUMIFS(Приход!$C$2:$C$1000,Приход!$B$2:$B$1000,A82))</f>
        <v/>
      </c>
      <c r="G82" s="7" t="str">
        <f aca="false">IF(A82="","",SUMIFS(Продажи!$F$2:$F$1000,Продажи!$D$2:$D$1000,A82))</f>
        <v/>
      </c>
      <c r="H82" s="7" t="str">
        <f aca="false">IF(A82="","",E82+F82-G82)</f>
        <v/>
      </c>
      <c r="I82" s="6"/>
      <c r="J82" s="7" t="str">
        <f aca="false">IF(A82="","",IF(H82&lt;=I82,"Заказать","ОК"))</f>
        <v/>
      </c>
    </row>
    <row r="83" customFormat="false" ht="15" hidden="false" customHeight="false" outlineLevel="0" collapsed="false">
      <c r="A83" s="6"/>
      <c r="B83" s="6"/>
      <c r="C83" s="10"/>
      <c r="D83" s="10"/>
      <c r="E83" s="6"/>
      <c r="F83" s="7" t="str">
        <f aca="false">IF(A83="","",SUMIFS(Приход!$C$2:$C$1000,Приход!$B$2:$B$1000,A83))</f>
        <v/>
      </c>
      <c r="G83" s="7" t="str">
        <f aca="false">IF(A83="","",SUMIFS(Продажи!$F$2:$F$1000,Продажи!$D$2:$D$1000,A83))</f>
        <v/>
      </c>
      <c r="H83" s="7" t="str">
        <f aca="false">IF(A83="","",E83+F83-G83)</f>
        <v/>
      </c>
      <c r="I83" s="6"/>
      <c r="J83" s="7" t="str">
        <f aca="false">IF(A83="","",IF(H83&lt;=I83,"Заказать","ОК"))</f>
        <v/>
      </c>
    </row>
    <row r="84" customFormat="false" ht="15" hidden="false" customHeight="false" outlineLevel="0" collapsed="false">
      <c r="A84" s="6"/>
      <c r="B84" s="6"/>
      <c r="C84" s="10"/>
      <c r="D84" s="10"/>
      <c r="E84" s="6"/>
      <c r="F84" s="7" t="str">
        <f aca="false">IF(A84="","",SUMIFS(Приход!$C$2:$C$1000,Приход!$B$2:$B$1000,A84))</f>
        <v/>
      </c>
      <c r="G84" s="7" t="str">
        <f aca="false">IF(A84="","",SUMIFS(Продажи!$F$2:$F$1000,Продажи!$D$2:$D$1000,A84))</f>
        <v/>
      </c>
      <c r="H84" s="7" t="str">
        <f aca="false">IF(A84="","",E84+F84-G84)</f>
        <v/>
      </c>
      <c r="I84" s="6"/>
      <c r="J84" s="7" t="str">
        <f aca="false">IF(A84="","",IF(H84&lt;=I84,"Заказать","ОК"))</f>
        <v/>
      </c>
    </row>
    <row r="85" customFormat="false" ht="15" hidden="false" customHeight="false" outlineLevel="0" collapsed="false">
      <c r="A85" s="6"/>
      <c r="B85" s="6"/>
      <c r="C85" s="10"/>
      <c r="D85" s="10"/>
      <c r="E85" s="6"/>
      <c r="F85" s="7" t="str">
        <f aca="false">IF(A85="","",SUMIFS(Приход!$C$2:$C$1000,Приход!$B$2:$B$1000,A85))</f>
        <v/>
      </c>
      <c r="G85" s="7" t="str">
        <f aca="false">IF(A85="","",SUMIFS(Продажи!$F$2:$F$1000,Продажи!$D$2:$D$1000,A85))</f>
        <v/>
      </c>
      <c r="H85" s="7" t="str">
        <f aca="false">IF(A85="","",E85+F85-G85)</f>
        <v/>
      </c>
      <c r="I85" s="6"/>
      <c r="J85" s="7" t="str">
        <f aca="false">IF(A85="","",IF(H85&lt;=I85,"Заказать","ОК"))</f>
        <v/>
      </c>
    </row>
    <row r="86" customFormat="false" ht="15" hidden="false" customHeight="false" outlineLevel="0" collapsed="false">
      <c r="A86" s="6"/>
      <c r="B86" s="6"/>
      <c r="C86" s="10"/>
      <c r="D86" s="10"/>
      <c r="E86" s="6"/>
      <c r="F86" s="7" t="str">
        <f aca="false">IF(A86="","",SUMIFS(Приход!$C$2:$C$1000,Приход!$B$2:$B$1000,A86))</f>
        <v/>
      </c>
      <c r="G86" s="7" t="str">
        <f aca="false">IF(A86="","",SUMIFS(Продажи!$F$2:$F$1000,Продажи!$D$2:$D$1000,A86))</f>
        <v/>
      </c>
      <c r="H86" s="7" t="str">
        <f aca="false">IF(A86="","",E86+F86-G86)</f>
        <v/>
      </c>
      <c r="I86" s="6"/>
      <c r="J86" s="7" t="str">
        <f aca="false">IF(A86="","",IF(H86&lt;=I86,"Заказать","ОК"))</f>
        <v/>
      </c>
    </row>
    <row r="87" customFormat="false" ht="15" hidden="false" customHeight="false" outlineLevel="0" collapsed="false">
      <c r="A87" s="6"/>
      <c r="B87" s="6"/>
      <c r="C87" s="10"/>
      <c r="D87" s="10"/>
      <c r="E87" s="6"/>
      <c r="F87" s="7" t="str">
        <f aca="false">IF(A87="","",SUMIFS(Приход!$C$2:$C$1000,Приход!$B$2:$B$1000,A87))</f>
        <v/>
      </c>
      <c r="G87" s="7" t="str">
        <f aca="false">IF(A87="","",SUMIFS(Продажи!$F$2:$F$1000,Продажи!$D$2:$D$1000,A87))</f>
        <v/>
      </c>
      <c r="H87" s="7" t="str">
        <f aca="false">IF(A87="","",E87+F87-G87)</f>
        <v/>
      </c>
      <c r="I87" s="6"/>
      <c r="J87" s="7" t="str">
        <f aca="false">IF(A87="","",IF(H87&lt;=I87,"Заказать","ОК"))</f>
        <v/>
      </c>
    </row>
    <row r="88" customFormat="false" ht="15" hidden="false" customHeight="false" outlineLevel="0" collapsed="false">
      <c r="A88" s="6"/>
      <c r="B88" s="6"/>
      <c r="C88" s="10"/>
      <c r="D88" s="10"/>
      <c r="E88" s="6"/>
      <c r="F88" s="7" t="str">
        <f aca="false">IF(A88="","",SUMIFS(Приход!$C$2:$C$1000,Приход!$B$2:$B$1000,A88))</f>
        <v/>
      </c>
      <c r="G88" s="7" t="str">
        <f aca="false">IF(A88="","",SUMIFS(Продажи!$F$2:$F$1000,Продажи!$D$2:$D$1000,A88))</f>
        <v/>
      </c>
      <c r="H88" s="7" t="str">
        <f aca="false">IF(A88="","",E88+F88-G88)</f>
        <v/>
      </c>
      <c r="I88" s="6"/>
      <c r="J88" s="7" t="str">
        <f aca="false">IF(A88="","",IF(H88&lt;=I88,"Заказать","ОК"))</f>
        <v/>
      </c>
    </row>
    <row r="89" customFormat="false" ht="15" hidden="false" customHeight="false" outlineLevel="0" collapsed="false">
      <c r="A89" s="6"/>
      <c r="B89" s="6"/>
      <c r="C89" s="10"/>
      <c r="D89" s="10"/>
      <c r="E89" s="6"/>
      <c r="F89" s="7" t="str">
        <f aca="false">IF(A89="","",SUMIFS(Приход!$C$2:$C$1000,Приход!$B$2:$B$1000,A89))</f>
        <v/>
      </c>
      <c r="G89" s="7" t="str">
        <f aca="false">IF(A89="","",SUMIFS(Продажи!$F$2:$F$1000,Продажи!$D$2:$D$1000,A89))</f>
        <v/>
      </c>
      <c r="H89" s="7" t="str">
        <f aca="false">IF(A89="","",E89+F89-G89)</f>
        <v/>
      </c>
      <c r="I89" s="6"/>
      <c r="J89" s="7" t="str">
        <f aca="false">IF(A89="","",IF(H89&lt;=I89,"Заказать","ОК"))</f>
        <v/>
      </c>
    </row>
    <row r="90" customFormat="false" ht="15" hidden="false" customHeight="false" outlineLevel="0" collapsed="false">
      <c r="A90" s="6"/>
      <c r="B90" s="6"/>
      <c r="C90" s="10"/>
      <c r="D90" s="10"/>
      <c r="E90" s="6"/>
      <c r="F90" s="7" t="str">
        <f aca="false">IF(A90="","",SUMIFS(Приход!$C$2:$C$1000,Приход!$B$2:$B$1000,A90))</f>
        <v/>
      </c>
      <c r="G90" s="7" t="str">
        <f aca="false">IF(A90="","",SUMIFS(Продажи!$F$2:$F$1000,Продажи!$D$2:$D$1000,A90))</f>
        <v/>
      </c>
      <c r="H90" s="7" t="str">
        <f aca="false">IF(A90="","",E90+F90-G90)</f>
        <v/>
      </c>
      <c r="I90" s="6"/>
      <c r="J90" s="7" t="str">
        <f aca="false">IF(A90="","",IF(H90&lt;=I90,"Заказать","ОК"))</f>
        <v/>
      </c>
    </row>
    <row r="91" customFormat="false" ht="15" hidden="false" customHeight="false" outlineLevel="0" collapsed="false">
      <c r="A91" s="6"/>
      <c r="B91" s="6"/>
      <c r="C91" s="10"/>
      <c r="D91" s="10"/>
      <c r="E91" s="6"/>
      <c r="F91" s="7" t="str">
        <f aca="false">IF(A91="","",SUMIFS(Приход!$C$2:$C$1000,Приход!$B$2:$B$1000,A91))</f>
        <v/>
      </c>
      <c r="G91" s="7" t="str">
        <f aca="false">IF(A91="","",SUMIFS(Продажи!$F$2:$F$1000,Продажи!$D$2:$D$1000,A91))</f>
        <v/>
      </c>
      <c r="H91" s="7" t="str">
        <f aca="false">IF(A91="","",E91+F91-G91)</f>
        <v/>
      </c>
      <c r="I91" s="6"/>
      <c r="J91" s="7" t="str">
        <f aca="false">IF(A91="","",IF(H91&lt;=I91,"Заказать","ОК"))</f>
        <v/>
      </c>
    </row>
    <row r="92" customFormat="false" ht="15" hidden="false" customHeight="false" outlineLevel="0" collapsed="false">
      <c r="A92" s="6"/>
      <c r="B92" s="6"/>
      <c r="C92" s="10"/>
      <c r="D92" s="10"/>
      <c r="E92" s="6"/>
      <c r="F92" s="7" t="str">
        <f aca="false">IF(A92="","",SUMIFS(Приход!$C$2:$C$1000,Приход!$B$2:$B$1000,A92))</f>
        <v/>
      </c>
      <c r="G92" s="7" t="str">
        <f aca="false">IF(A92="","",SUMIFS(Продажи!$F$2:$F$1000,Продажи!$D$2:$D$1000,A92))</f>
        <v/>
      </c>
      <c r="H92" s="7" t="str">
        <f aca="false">IF(A92="","",E92+F92-G92)</f>
        <v/>
      </c>
      <c r="I92" s="6"/>
      <c r="J92" s="7" t="str">
        <f aca="false">IF(A92="","",IF(H92&lt;=I92,"Заказать","ОК"))</f>
        <v/>
      </c>
    </row>
    <row r="93" customFormat="false" ht="15" hidden="false" customHeight="false" outlineLevel="0" collapsed="false">
      <c r="A93" s="6"/>
      <c r="B93" s="6"/>
      <c r="C93" s="10"/>
      <c r="D93" s="10"/>
      <c r="E93" s="6"/>
      <c r="F93" s="7" t="str">
        <f aca="false">IF(A93="","",SUMIFS(Приход!$C$2:$C$1000,Приход!$B$2:$B$1000,A93))</f>
        <v/>
      </c>
      <c r="G93" s="7" t="str">
        <f aca="false">IF(A93="","",SUMIFS(Продажи!$F$2:$F$1000,Продажи!$D$2:$D$1000,A93))</f>
        <v/>
      </c>
      <c r="H93" s="7" t="str">
        <f aca="false">IF(A93="","",E93+F93-G93)</f>
        <v/>
      </c>
      <c r="I93" s="6"/>
      <c r="J93" s="7" t="str">
        <f aca="false">IF(A93="","",IF(H93&lt;=I93,"Заказать","ОК"))</f>
        <v/>
      </c>
    </row>
    <row r="94" customFormat="false" ht="15" hidden="false" customHeight="false" outlineLevel="0" collapsed="false">
      <c r="A94" s="6"/>
      <c r="B94" s="6"/>
      <c r="C94" s="10"/>
      <c r="D94" s="10"/>
      <c r="E94" s="6"/>
      <c r="F94" s="7" t="str">
        <f aca="false">IF(A94="","",SUMIFS(Приход!$C$2:$C$1000,Приход!$B$2:$B$1000,A94))</f>
        <v/>
      </c>
      <c r="G94" s="7" t="str">
        <f aca="false">IF(A94="","",SUMIFS(Продажи!$F$2:$F$1000,Продажи!$D$2:$D$1000,A94))</f>
        <v/>
      </c>
      <c r="H94" s="7" t="str">
        <f aca="false">IF(A94="","",E94+F94-G94)</f>
        <v/>
      </c>
      <c r="I94" s="6"/>
      <c r="J94" s="7" t="str">
        <f aca="false">IF(A94="","",IF(H94&lt;=I94,"Заказать","ОК"))</f>
        <v/>
      </c>
    </row>
    <row r="95" customFormat="false" ht="15" hidden="false" customHeight="false" outlineLevel="0" collapsed="false">
      <c r="A95" s="6"/>
      <c r="B95" s="6"/>
      <c r="C95" s="10"/>
      <c r="D95" s="10"/>
      <c r="E95" s="6"/>
      <c r="F95" s="7" t="str">
        <f aca="false">IF(A95="","",SUMIFS(Приход!$C$2:$C$1000,Приход!$B$2:$B$1000,A95))</f>
        <v/>
      </c>
      <c r="G95" s="7" t="str">
        <f aca="false">IF(A95="","",SUMIFS(Продажи!$F$2:$F$1000,Продажи!$D$2:$D$1000,A95))</f>
        <v/>
      </c>
      <c r="H95" s="7" t="str">
        <f aca="false">IF(A95="","",E95+F95-G95)</f>
        <v/>
      </c>
      <c r="I95" s="6"/>
      <c r="J95" s="7" t="str">
        <f aca="false">IF(A95="","",IF(H95&lt;=I95,"Заказать","ОК"))</f>
        <v/>
      </c>
    </row>
    <row r="96" customFormat="false" ht="15" hidden="false" customHeight="false" outlineLevel="0" collapsed="false">
      <c r="A96" s="6"/>
      <c r="B96" s="6"/>
      <c r="C96" s="10"/>
      <c r="D96" s="10"/>
      <c r="E96" s="6"/>
      <c r="F96" s="7" t="str">
        <f aca="false">IF(A96="","",SUMIFS(Приход!$C$2:$C$1000,Приход!$B$2:$B$1000,A96))</f>
        <v/>
      </c>
      <c r="G96" s="7" t="str">
        <f aca="false">IF(A96="","",SUMIFS(Продажи!$F$2:$F$1000,Продажи!$D$2:$D$1000,A96))</f>
        <v/>
      </c>
      <c r="H96" s="7" t="str">
        <f aca="false">IF(A96="","",E96+F96-G96)</f>
        <v/>
      </c>
      <c r="I96" s="6"/>
      <c r="J96" s="7" t="str">
        <f aca="false">IF(A96="","",IF(H96&lt;=I96,"Заказать","ОК"))</f>
        <v/>
      </c>
    </row>
    <row r="97" customFormat="false" ht="15" hidden="false" customHeight="false" outlineLevel="0" collapsed="false">
      <c r="A97" s="6"/>
      <c r="B97" s="6"/>
      <c r="C97" s="10"/>
      <c r="D97" s="10"/>
      <c r="E97" s="6"/>
      <c r="F97" s="7" t="str">
        <f aca="false">IF(A97="","",SUMIFS(Приход!$C$2:$C$1000,Приход!$B$2:$B$1000,A97))</f>
        <v/>
      </c>
      <c r="G97" s="7" t="str">
        <f aca="false">IF(A97="","",SUMIFS(Продажи!$F$2:$F$1000,Продажи!$D$2:$D$1000,A97))</f>
        <v/>
      </c>
      <c r="H97" s="7" t="str">
        <f aca="false">IF(A97="","",E97+F97-G97)</f>
        <v/>
      </c>
      <c r="I97" s="6"/>
      <c r="J97" s="7" t="str">
        <f aca="false">IF(A97="","",IF(H97&lt;=I97,"Заказать","ОК"))</f>
        <v/>
      </c>
    </row>
    <row r="98" customFormat="false" ht="15" hidden="false" customHeight="false" outlineLevel="0" collapsed="false">
      <c r="A98" s="6"/>
      <c r="B98" s="6"/>
      <c r="C98" s="10"/>
      <c r="D98" s="10"/>
      <c r="E98" s="6"/>
      <c r="F98" s="7" t="str">
        <f aca="false">IF(A98="","",SUMIFS(Приход!$C$2:$C$1000,Приход!$B$2:$B$1000,A98))</f>
        <v/>
      </c>
      <c r="G98" s="7" t="str">
        <f aca="false">IF(A98="","",SUMIFS(Продажи!$F$2:$F$1000,Продажи!$D$2:$D$1000,A98))</f>
        <v/>
      </c>
      <c r="H98" s="7" t="str">
        <f aca="false">IF(A98="","",E98+F98-G98)</f>
        <v/>
      </c>
      <c r="I98" s="6"/>
      <c r="J98" s="7" t="str">
        <f aca="false">IF(A98="","",IF(H98&lt;=I98,"Заказать","ОК"))</f>
        <v/>
      </c>
    </row>
    <row r="99" customFormat="false" ht="15" hidden="false" customHeight="false" outlineLevel="0" collapsed="false">
      <c r="A99" s="6"/>
      <c r="B99" s="6"/>
      <c r="C99" s="10"/>
      <c r="D99" s="10"/>
      <c r="E99" s="6"/>
      <c r="F99" s="7" t="str">
        <f aca="false">IF(A99="","",SUMIFS(Приход!$C$2:$C$1000,Приход!$B$2:$B$1000,A99))</f>
        <v/>
      </c>
      <c r="G99" s="7" t="str">
        <f aca="false">IF(A99="","",SUMIFS(Продажи!$F$2:$F$1000,Продажи!$D$2:$D$1000,A99))</f>
        <v/>
      </c>
      <c r="H99" s="7" t="str">
        <f aca="false">IF(A99="","",E99+F99-G99)</f>
        <v/>
      </c>
      <c r="I99" s="6"/>
      <c r="J99" s="7" t="str">
        <f aca="false">IF(A99="","",IF(H99&lt;=I99,"Заказать","ОК"))</f>
        <v/>
      </c>
    </row>
    <row r="100" customFormat="false" ht="15" hidden="false" customHeight="false" outlineLevel="0" collapsed="false">
      <c r="A100" s="6"/>
      <c r="B100" s="6"/>
      <c r="C100" s="10"/>
      <c r="D100" s="10"/>
      <c r="E100" s="6"/>
      <c r="F100" s="7" t="str">
        <f aca="false">IF(A100="","",SUMIFS(Приход!$C$2:$C$1000,Приход!$B$2:$B$1000,A100))</f>
        <v/>
      </c>
      <c r="G100" s="7" t="str">
        <f aca="false">IF(A100="","",SUMIFS(Продажи!$F$2:$F$1000,Продажи!$D$2:$D$1000,A100))</f>
        <v/>
      </c>
      <c r="H100" s="7" t="str">
        <f aca="false">IF(A100="","",E100+F100-G100)</f>
        <v/>
      </c>
      <c r="I100" s="6"/>
      <c r="J100" s="7" t="str">
        <f aca="false">IF(A100="","",IF(H100&lt;=I100,"Заказать","ОК"))</f>
        <v/>
      </c>
    </row>
    <row r="101" customFormat="false" ht="15" hidden="false" customHeight="false" outlineLevel="0" collapsed="false">
      <c r="A101" s="6"/>
      <c r="B101" s="6"/>
      <c r="C101" s="10"/>
      <c r="D101" s="10"/>
      <c r="E101" s="6"/>
      <c r="F101" s="7" t="str">
        <f aca="false">IF(A101="","",SUMIFS(Приход!$C$2:$C$1000,Приход!$B$2:$B$1000,A101))</f>
        <v/>
      </c>
      <c r="G101" s="7" t="str">
        <f aca="false">IF(A101="","",SUMIFS(Продажи!$F$2:$F$1000,Продажи!$D$2:$D$1000,A101))</f>
        <v/>
      </c>
      <c r="H101" s="7" t="str">
        <f aca="false">IF(A101="","",E101+F101-G101)</f>
        <v/>
      </c>
      <c r="I101" s="6"/>
      <c r="J101" s="7" t="str">
        <f aca="false">IF(A101="","",IF(H101&lt;=I101,"Заказать","ОК"))</f>
        <v/>
      </c>
    </row>
    <row r="102" customFormat="false" ht="15" hidden="false" customHeight="false" outlineLevel="0" collapsed="false">
      <c r="A102" s="6"/>
      <c r="B102" s="6"/>
      <c r="C102" s="10"/>
      <c r="D102" s="10"/>
      <c r="E102" s="6"/>
      <c r="F102" s="7" t="str">
        <f aca="false">IF(A102="","",SUMIFS(Приход!$C$2:$C$1000,Приход!$B$2:$B$1000,A102))</f>
        <v/>
      </c>
      <c r="G102" s="7" t="str">
        <f aca="false">IF(A102="","",SUMIFS(Продажи!$F$2:$F$1000,Продажи!$D$2:$D$1000,A102))</f>
        <v/>
      </c>
      <c r="H102" s="7" t="str">
        <f aca="false">IF(A102="","",E102+F102-G102)</f>
        <v/>
      </c>
      <c r="I102" s="6"/>
      <c r="J102" s="7" t="str">
        <f aca="false">IF(A102="","",IF(H102&lt;=I102,"Заказать","ОК"))</f>
        <v/>
      </c>
    </row>
    <row r="103" customFormat="false" ht="15" hidden="false" customHeight="false" outlineLevel="0" collapsed="false">
      <c r="A103" s="6"/>
      <c r="B103" s="6"/>
      <c r="C103" s="10"/>
      <c r="D103" s="10"/>
      <c r="E103" s="6"/>
      <c r="F103" s="7" t="str">
        <f aca="false">IF(A103="","",SUMIFS(Приход!$C$2:$C$1000,Приход!$B$2:$B$1000,A103))</f>
        <v/>
      </c>
      <c r="G103" s="7" t="str">
        <f aca="false">IF(A103="","",SUMIFS(Продажи!$F$2:$F$1000,Продажи!$D$2:$D$1000,A103))</f>
        <v/>
      </c>
      <c r="H103" s="7" t="str">
        <f aca="false">IF(A103="","",E103+F103-G103)</f>
        <v/>
      </c>
      <c r="I103" s="6"/>
      <c r="J103" s="7" t="str">
        <f aca="false">IF(A103="","",IF(H103&lt;=I103,"Заказать","ОК"))</f>
        <v/>
      </c>
    </row>
    <row r="104" customFormat="false" ht="15" hidden="false" customHeight="false" outlineLevel="0" collapsed="false">
      <c r="A104" s="6"/>
      <c r="B104" s="6"/>
      <c r="C104" s="10"/>
      <c r="D104" s="10"/>
      <c r="E104" s="6"/>
      <c r="F104" s="7" t="str">
        <f aca="false">IF(A104="","",SUMIFS(Приход!$C$2:$C$1000,Приход!$B$2:$B$1000,A104))</f>
        <v/>
      </c>
      <c r="G104" s="7" t="str">
        <f aca="false">IF(A104="","",SUMIFS(Продажи!$F$2:$F$1000,Продажи!$D$2:$D$1000,A104))</f>
        <v/>
      </c>
      <c r="H104" s="7" t="str">
        <f aca="false">IF(A104="","",E104+F104-G104)</f>
        <v/>
      </c>
      <c r="I104" s="6"/>
      <c r="J104" s="7" t="str">
        <f aca="false">IF(A104="","",IF(H104&lt;=I104,"Заказать","ОК"))</f>
        <v/>
      </c>
    </row>
    <row r="105" customFormat="false" ht="15" hidden="false" customHeight="false" outlineLevel="0" collapsed="false">
      <c r="A105" s="6"/>
      <c r="B105" s="6"/>
      <c r="C105" s="10"/>
      <c r="D105" s="10"/>
      <c r="E105" s="6"/>
      <c r="F105" s="7" t="str">
        <f aca="false">IF(A105="","",SUMIFS(Приход!$C$2:$C$1000,Приход!$B$2:$B$1000,A105))</f>
        <v/>
      </c>
      <c r="G105" s="7" t="str">
        <f aca="false">IF(A105="","",SUMIFS(Продажи!$F$2:$F$1000,Продажи!$D$2:$D$1000,A105))</f>
        <v/>
      </c>
      <c r="H105" s="7" t="str">
        <f aca="false">IF(A105="","",E105+F105-G105)</f>
        <v/>
      </c>
      <c r="I105" s="6"/>
      <c r="J105" s="7" t="str">
        <f aca="false">IF(A105="","",IF(H105&lt;=I105,"Заказать","ОК"))</f>
        <v/>
      </c>
    </row>
    <row r="106" customFormat="false" ht="15" hidden="false" customHeight="false" outlineLevel="0" collapsed="false">
      <c r="A106" s="6"/>
      <c r="B106" s="6"/>
      <c r="C106" s="10"/>
      <c r="D106" s="10"/>
      <c r="E106" s="6"/>
      <c r="F106" s="7" t="str">
        <f aca="false">IF(A106="","",SUMIFS(Приход!$C$2:$C$1000,Приход!$B$2:$B$1000,A106))</f>
        <v/>
      </c>
      <c r="G106" s="7" t="str">
        <f aca="false">IF(A106="","",SUMIFS(Продажи!$F$2:$F$1000,Продажи!$D$2:$D$1000,A106))</f>
        <v/>
      </c>
      <c r="H106" s="7" t="str">
        <f aca="false">IF(A106="","",E106+F106-G106)</f>
        <v/>
      </c>
      <c r="I106" s="6"/>
      <c r="J106" s="7" t="str">
        <f aca="false">IF(A106="","",IF(H106&lt;=I106,"Заказать","ОК"))</f>
        <v/>
      </c>
    </row>
    <row r="107" customFormat="false" ht="15" hidden="false" customHeight="false" outlineLevel="0" collapsed="false">
      <c r="A107" s="6"/>
      <c r="B107" s="6"/>
      <c r="C107" s="10"/>
      <c r="D107" s="10"/>
      <c r="E107" s="6"/>
      <c r="F107" s="7" t="str">
        <f aca="false">IF(A107="","",SUMIFS(Приход!$C$2:$C$1000,Приход!$B$2:$B$1000,A107))</f>
        <v/>
      </c>
      <c r="G107" s="7" t="str">
        <f aca="false">IF(A107="","",SUMIFS(Продажи!$F$2:$F$1000,Продажи!$D$2:$D$1000,A107))</f>
        <v/>
      </c>
      <c r="H107" s="7" t="str">
        <f aca="false">IF(A107="","",E107+F107-G107)</f>
        <v/>
      </c>
      <c r="I107" s="6"/>
      <c r="J107" s="7" t="str">
        <f aca="false">IF(A107="","",IF(H107&lt;=I107,"Заказать","ОК"))</f>
        <v/>
      </c>
    </row>
    <row r="108" customFormat="false" ht="15" hidden="false" customHeight="false" outlineLevel="0" collapsed="false">
      <c r="A108" s="6"/>
      <c r="B108" s="6"/>
      <c r="C108" s="10"/>
      <c r="D108" s="10"/>
      <c r="E108" s="6"/>
      <c r="F108" s="7" t="str">
        <f aca="false">IF(A108="","",SUMIFS(Приход!$C$2:$C$1000,Приход!$B$2:$B$1000,A108))</f>
        <v/>
      </c>
      <c r="G108" s="7" t="str">
        <f aca="false">IF(A108="","",SUMIFS(Продажи!$F$2:$F$1000,Продажи!$D$2:$D$1000,A108))</f>
        <v/>
      </c>
      <c r="H108" s="7" t="str">
        <f aca="false">IF(A108="","",E108+F108-G108)</f>
        <v/>
      </c>
      <c r="I108" s="6"/>
      <c r="J108" s="7" t="str">
        <f aca="false">IF(A108="","",IF(H108&lt;=I108,"Заказать","ОК"))</f>
        <v/>
      </c>
    </row>
    <row r="109" customFormat="false" ht="15" hidden="false" customHeight="false" outlineLevel="0" collapsed="false">
      <c r="A109" s="6"/>
      <c r="B109" s="6"/>
      <c r="C109" s="10"/>
      <c r="D109" s="10"/>
      <c r="E109" s="6"/>
      <c r="F109" s="7" t="str">
        <f aca="false">IF(A109="","",SUMIFS(Приход!$C$2:$C$1000,Приход!$B$2:$B$1000,A109))</f>
        <v/>
      </c>
      <c r="G109" s="7" t="str">
        <f aca="false">IF(A109="","",SUMIFS(Продажи!$F$2:$F$1000,Продажи!$D$2:$D$1000,A109))</f>
        <v/>
      </c>
      <c r="H109" s="7" t="str">
        <f aca="false">IF(A109="","",E109+F109-G109)</f>
        <v/>
      </c>
      <c r="I109" s="6"/>
      <c r="J109" s="7" t="str">
        <f aca="false">IF(A109="","",IF(H109&lt;=I109,"Заказать","ОК"))</f>
        <v/>
      </c>
    </row>
    <row r="110" customFormat="false" ht="15" hidden="false" customHeight="false" outlineLevel="0" collapsed="false">
      <c r="A110" s="6"/>
      <c r="B110" s="6"/>
      <c r="C110" s="10"/>
      <c r="D110" s="10"/>
      <c r="E110" s="6"/>
      <c r="F110" s="7" t="str">
        <f aca="false">IF(A110="","",SUMIFS(Приход!$C$2:$C$1000,Приход!$B$2:$B$1000,A110))</f>
        <v/>
      </c>
      <c r="G110" s="7" t="str">
        <f aca="false">IF(A110="","",SUMIFS(Продажи!$F$2:$F$1000,Продажи!$D$2:$D$1000,A110))</f>
        <v/>
      </c>
      <c r="H110" s="7" t="str">
        <f aca="false">IF(A110="","",E110+F110-G110)</f>
        <v/>
      </c>
      <c r="I110" s="6"/>
      <c r="J110" s="7" t="str">
        <f aca="false">IF(A110="","",IF(H110&lt;=I110,"Заказать","ОК"))</f>
        <v/>
      </c>
    </row>
    <row r="111" customFormat="false" ht="15" hidden="false" customHeight="false" outlineLevel="0" collapsed="false">
      <c r="A111" s="6"/>
      <c r="B111" s="6"/>
      <c r="C111" s="10"/>
      <c r="D111" s="10"/>
      <c r="E111" s="6"/>
      <c r="F111" s="7" t="str">
        <f aca="false">IF(A111="","",SUMIFS(Приход!$C$2:$C$1000,Приход!$B$2:$B$1000,A111))</f>
        <v/>
      </c>
      <c r="G111" s="7" t="str">
        <f aca="false">IF(A111="","",SUMIFS(Продажи!$F$2:$F$1000,Продажи!$D$2:$D$1000,A111))</f>
        <v/>
      </c>
      <c r="H111" s="7" t="str">
        <f aca="false">IF(A111="","",E111+F111-G111)</f>
        <v/>
      </c>
      <c r="I111" s="6"/>
      <c r="J111" s="7" t="str">
        <f aca="false">IF(A111="","",IF(H111&lt;=I111,"Заказать","ОК"))</f>
        <v/>
      </c>
    </row>
    <row r="112" customFormat="false" ht="15" hidden="false" customHeight="false" outlineLevel="0" collapsed="false">
      <c r="A112" s="6"/>
      <c r="B112" s="6"/>
      <c r="C112" s="10"/>
      <c r="D112" s="10"/>
      <c r="E112" s="6"/>
      <c r="F112" s="7" t="str">
        <f aca="false">IF(A112="","",SUMIFS(Приход!$C$2:$C$1000,Приход!$B$2:$B$1000,A112))</f>
        <v/>
      </c>
      <c r="G112" s="7" t="str">
        <f aca="false">IF(A112="","",SUMIFS(Продажи!$F$2:$F$1000,Продажи!$D$2:$D$1000,A112))</f>
        <v/>
      </c>
      <c r="H112" s="7" t="str">
        <f aca="false">IF(A112="","",E112+F112-G112)</f>
        <v/>
      </c>
      <c r="I112" s="6"/>
      <c r="J112" s="7" t="str">
        <f aca="false">IF(A112="","",IF(H112&lt;=I112,"Заказать","ОК"))</f>
        <v/>
      </c>
    </row>
    <row r="113" customFormat="false" ht="15" hidden="false" customHeight="false" outlineLevel="0" collapsed="false">
      <c r="A113" s="6"/>
      <c r="B113" s="6"/>
      <c r="C113" s="10"/>
      <c r="D113" s="10"/>
      <c r="E113" s="6"/>
      <c r="F113" s="7" t="str">
        <f aca="false">IF(A113="","",SUMIFS(Приход!$C$2:$C$1000,Приход!$B$2:$B$1000,A113))</f>
        <v/>
      </c>
      <c r="G113" s="7" t="str">
        <f aca="false">IF(A113="","",SUMIFS(Продажи!$F$2:$F$1000,Продажи!$D$2:$D$1000,A113))</f>
        <v/>
      </c>
      <c r="H113" s="7" t="str">
        <f aca="false">IF(A113="","",E113+F113-G113)</f>
        <v/>
      </c>
      <c r="I113" s="6"/>
      <c r="J113" s="7" t="str">
        <f aca="false">IF(A113="","",IF(H113&lt;=I113,"Заказать","ОК"))</f>
        <v/>
      </c>
    </row>
    <row r="114" customFormat="false" ht="15" hidden="false" customHeight="false" outlineLevel="0" collapsed="false">
      <c r="A114" s="6"/>
      <c r="B114" s="6"/>
      <c r="C114" s="10"/>
      <c r="D114" s="10"/>
      <c r="E114" s="6"/>
      <c r="F114" s="7" t="str">
        <f aca="false">IF(A114="","",SUMIFS(Приход!$C$2:$C$1000,Приход!$B$2:$B$1000,A114))</f>
        <v/>
      </c>
      <c r="G114" s="7" t="str">
        <f aca="false">IF(A114="","",SUMIFS(Продажи!$F$2:$F$1000,Продажи!$D$2:$D$1000,A114))</f>
        <v/>
      </c>
      <c r="H114" s="7" t="str">
        <f aca="false">IF(A114="","",E114+F114-G114)</f>
        <v/>
      </c>
      <c r="I114" s="6"/>
      <c r="J114" s="7" t="str">
        <f aca="false">IF(A114="","",IF(H114&lt;=I114,"Заказать","ОК"))</f>
        <v/>
      </c>
    </row>
    <row r="115" customFormat="false" ht="15" hidden="false" customHeight="false" outlineLevel="0" collapsed="false">
      <c r="A115" s="6"/>
      <c r="B115" s="6"/>
      <c r="C115" s="10"/>
      <c r="D115" s="10"/>
      <c r="E115" s="6"/>
      <c r="F115" s="7" t="str">
        <f aca="false">IF(A115="","",SUMIFS(Приход!$C$2:$C$1000,Приход!$B$2:$B$1000,A115))</f>
        <v/>
      </c>
      <c r="G115" s="7" t="str">
        <f aca="false">IF(A115="","",SUMIFS(Продажи!$F$2:$F$1000,Продажи!$D$2:$D$1000,A115))</f>
        <v/>
      </c>
      <c r="H115" s="7" t="str">
        <f aca="false">IF(A115="","",E115+F115-G115)</f>
        <v/>
      </c>
      <c r="I115" s="6"/>
      <c r="J115" s="7" t="str">
        <f aca="false">IF(A115="","",IF(H115&lt;=I115,"Заказать","ОК"))</f>
        <v/>
      </c>
    </row>
    <row r="116" customFormat="false" ht="15" hidden="false" customHeight="false" outlineLevel="0" collapsed="false">
      <c r="A116" s="6"/>
      <c r="B116" s="6"/>
      <c r="C116" s="10"/>
      <c r="D116" s="10"/>
      <c r="E116" s="6"/>
      <c r="F116" s="7" t="str">
        <f aca="false">IF(A116="","",SUMIFS(Приход!$C$2:$C$1000,Приход!$B$2:$B$1000,A116))</f>
        <v/>
      </c>
      <c r="G116" s="7" t="str">
        <f aca="false">IF(A116="","",SUMIFS(Продажи!$F$2:$F$1000,Продажи!$D$2:$D$1000,A116))</f>
        <v/>
      </c>
      <c r="H116" s="7" t="str">
        <f aca="false">IF(A116="","",E116+F116-G116)</f>
        <v/>
      </c>
      <c r="I116" s="6"/>
      <c r="J116" s="7" t="str">
        <f aca="false">IF(A116="","",IF(H116&lt;=I116,"Заказать","ОК"))</f>
        <v/>
      </c>
    </row>
    <row r="117" customFormat="false" ht="15" hidden="false" customHeight="false" outlineLevel="0" collapsed="false">
      <c r="A117" s="6"/>
      <c r="B117" s="6"/>
      <c r="C117" s="10"/>
      <c r="D117" s="10"/>
      <c r="E117" s="6"/>
      <c r="F117" s="7" t="str">
        <f aca="false">IF(A117="","",SUMIFS(Приход!$C$2:$C$1000,Приход!$B$2:$B$1000,A117))</f>
        <v/>
      </c>
      <c r="G117" s="7" t="str">
        <f aca="false">IF(A117="","",SUMIFS(Продажи!$F$2:$F$1000,Продажи!$D$2:$D$1000,A117))</f>
        <v/>
      </c>
      <c r="H117" s="7" t="str">
        <f aca="false">IF(A117="","",E117+F117-G117)</f>
        <v/>
      </c>
      <c r="I117" s="6"/>
      <c r="J117" s="7" t="str">
        <f aca="false">IF(A117="","",IF(H117&lt;=I117,"Заказать","ОК"))</f>
        <v/>
      </c>
    </row>
    <row r="118" customFormat="false" ht="15" hidden="false" customHeight="false" outlineLevel="0" collapsed="false">
      <c r="A118" s="6"/>
      <c r="B118" s="6"/>
      <c r="C118" s="10"/>
      <c r="D118" s="10"/>
      <c r="E118" s="6"/>
      <c r="F118" s="7" t="str">
        <f aca="false">IF(A118="","",SUMIFS(Приход!$C$2:$C$1000,Приход!$B$2:$B$1000,A118))</f>
        <v/>
      </c>
      <c r="G118" s="7" t="str">
        <f aca="false">IF(A118="","",SUMIFS(Продажи!$F$2:$F$1000,Продажи!$D$2:$D$1000,A118))</f>
        <v/>
      </c>
      <c r="H118" s="7" t="str">
        <f aca="false">IF(A118="","",E118+F118-G118)</f>
        <v/>
      </c>
      <c r="I118" s="6"/>
      <c r="J118" s="7" t="str">
        <f aca="false">IF(A118="","",IF(H118&lt;=I118,"Заказать","ОК"))</f>
        <v/>
      </c>
    </row>
    <row r="119" customFormat="false" ht="15" hidden="false" customHeight="false" outlineLevel="0" collapsed="false">
      <c r="A119" s="6"/>
      <c r="B119" s="6"/>
      <c r="C119" s="10"/>
      <c r="D119" s="10"/>
      <c r="E119" s="6"/>
      <c r="F119" s="7" t="str">
        <f aca="false">IF(A119="","",SUMIFS(Приход!$C$2:$C$1000,Приход!$B$2:$B$1000,A119))</f>
        <v/>
      </c>
      <c r="G119" s="7" t="str">
        <f aca="false">IF(A119="","",SUMIFS(Продажи!$F$2:$F$1000,Продажи!$D$2:$D$1000,A119))</f>
        <v/>
      </c>
      <c r="H119" s="7" t="str">
        <f aca="false">IF(A119="","",E119+F119-G119)</f>
        <v/>
      </c>
      <c r="I119" s="6"/>
      <c r="J119" s="7" t="str">
        <f aca="false">IF(A119="","",IF(H119&lt;=I119,"Заказать","ОК"))</f>
        <v/>
      </c>
    </row>
    <row r="120" customFormat="false" ht="15" hidden="false" customHeight="false" outlineLevel="0" collapsed="false">
      <c r="A120" s="6"/>
      <c r="B120" s="6"/>
      <c r="C120" s="10"/>
      <c r="D120" s="10"/>
      <c r="E120" s="6"/>
      <c r="F120" s="7" t="str">
        <f aca="false">IF(A120="","",SUMIFS(Приход!$C$2:$C$1000,Приход!$B$2:$B$1000,A120))</f>
        <v/>
      </c>
      <c r="G120" s="7" t="str">
        <f aca="false">IF(A120="","",SUMIFS(Продажи!$F$2:$F$1000,Продажи!$D$2:$D$1000,A120))</f>
        <v/>
      </c>
      <c r="H120" s="7" t="str">
        <f aca="false">IF(A120="","",E120+F120-G120)</f>
        <v/>
      </c>
      <c r="I120" s="6"/>
      <c r="J120" s="7" t="str">
        <f aca="false">IF(A120="","",IF(H120&lt;=I120,"Заказать","ОК"))</f>
        <v/>
      </c>
    </row>
    <row r="121" customFormat="false" ht="15" hidden="false" customHeight="false" outlineLevel="0" collapsed="false">
      <c r="A121" s="6"/>
      <c r="B121" s="6"/>
      <c r="C121" s="10"/>
      <c r="D121" s="10"/>
      <c r="E121" s="6"/>
      <c r="F121" s="7" t="str">
        <f aca="false">IF(A121="","",SUMIFS(Приход!$C$2:$C$1000,Приход!$B$2:$B$1000,A121))</f>
        <v/>
      </c>
      <c r="G121" s="7" t="str">
        <f aca="false">IF(A121="","",SUMIFS(Продажи!$F$2:$F$1000,Продажи!$D$2:$D$1000,A121))</f>
        <v/>
      </c>
      <c r="H121" s="7" t="str">
        <f aca="false">IF(A121="","",E121+F121-G121)</f>
        <v/>
      </c>
      <c r="I121" s="6"/>
      <c r="J121" s="7" t="str">
        <f aca="false">IF(A121="","",IF(H121&lt;=I121,"Заказать","ОК"))</f>
        <v/>
      </c>
    </row>
    <row r="122" customFormat="false" ht="15" hidden="false" customHeight="false" outlineLevel="0" collapsed="false">
      <c r="A122" s="6"/>
      <c r="B122" s="6"/>
      <c r="C122" s="10"/>
      <c r="D122" s="10"/>
      <c r="E122" s="6"/>
      <c r="F122" s="7" t="str">
        <f aca="false">IF(A122="","",SUMIFS(Приход!$C$2:$C$1000,Приход!$B$2:$B$1000,A122))</f>
        <v/>
      </c>
      <c r="G122" s="7" t="str">
        <f aca="false">IF(A122="","",SUMIFS(Продажи!$F$2:$F$1000,Продажи!$D$2:$D$1000,A122))</f>
        <v/>
      </c>
      <c r="H122" s="7" t="str">
        <f aca="false">IF(A122="","",E122+F122-G122)</f>
        <v/>
      </c>
      <c r="I122" s="6"/>
      <c r="J122" s="7" t="str">
        <f aca="false">IF(A122="","",IF(H122&lt;=I122,"Заказать","ОК"))</f>
        <v/>
      </c>
    </row>
    <row r="123" customFormat="false" ht="15" hidden="false" customHeight="false" outlineLevel="0" collapsed="false">
      <c r="A123" s="6"/>
      <c r="B123" s="6"/>
      <c r="C123" s="10"/>
      <c r="D123" s="10"/>
      <c r="E123" s="6"/>
      <c r="F123" s="7" t="str">
        <f aca="false">IF(A123="","",SUMIFS(Приход!$C$2:$C$1000,Приход!$B$2:$B$1000,A123))</f>
        <v/>
      </c>
      <c r="G123" s="7" t="str">
        <f aca="false">IF(A123="","",SUMIFS(Продажи!$F$2:$F$1000,Продажи!$D$2:$D$1000,A123))</f>
        <v/>
      </c>
      <c r="H123" s="7" t="str">
        <f aca="false">IF(A123="","",E123+F123-G123)</f>
        <v/>
      </c>
      <c r="I123" s="6"/>
      <c r="J123" s="7" t="str">
        <f aca="false">IF(A123="","",IF(H123&lt;=I123,"Заказать","ОК"))</f>
        <v/>
      </c>
    </row>
    <row r="124" customFormat="false" ht="15" hidden="false" customHeight="false" outlineLevel="0" collapsed="false">
      <c r="A124" s="6"/>
      <c r="B124" s="6"/>
      <c r="C124" s="10"/>
      <c r="D124" s="10"/>
      <c r="E124" s="6"/>
      <c r="F124" s="7" t="str">
        <f aca="false">IF(A124="","",SUMIFS(Приход!$C$2:$C$1000,Приход!$B$2:$B$1000,A124))</f>
        <v/>
      </c>
      <c r="G124" s="7" t="str">
        <f aca="false">IF(A124="","",SUMIFS(Продажи!$F$2:$F$1000,Продажи!$D$2:$D$1000,A124))</f>
        <v/>
      </c>
      <c r="H124" s="7" t="str">
        <f aca="false">IF(A124="","",E124+F124-G124)</f>
        <v/>
      </c>
      <c r="I124" s="6"/>
      <c r="J124" s="7" t="str">
        <f aca="false">IF(A124="","",IF(H124&lt;=I124,"Заказать","ОК"))</f>
        <v/>
      </c>
    </row>
    <row r="125" customFormat="false" ht="15" hidden="false" customHeight="false" outlineLevel="0" collapsed="false">
      <c r="A125" s="6"/>
      <c r="B125" s="6"/>
      <c r="C125" s="10"/>
      <c r="D125" s="10"/>
      <c r="E125" s="6"/>
      <c r="F125" s="7" t="str">
        <f aca="false">IF(A125="","",SUMIFS(Приход!$C$2:$C$1000,Приход!$B$2:$B$1000,A125))</f>
        <v/>
      </c>
      <c r="G125" s="7" t="str">
        <f aca="false">IF(A125="","",SUMIFS(Продажи!$F$2:$F$1000,Продажи!$D$2:$D$1000,A125))</f>
        <v/>
      </c>
      <c r="H125" s="7" t="str">
        <f aca="false">IF(A125="","",E125+F125-G125)</f>
        <v/>
      </c>
      <c r="I125" s="6"/>
      <c r="J125" s="7" t="str">
        <f aca="false">IF(A125="","",IF(H125&lt;=I125,"Заказать","ОК"))</f>
        <v/>
      </c>
    </row>
    <row r="126" customFormat="false" ht="15" hidden="false" customHeight="false" outlineLevel="0" collapsed="false">
      <c r="A126" s="6"/>
      <c r="B126" s="6"/>
      <c r="C126" s="10"/>
      <c r="D126" s="10"/>
      <c r="E126" s="6"/>
      <c r="F126" s="7" t="str">
        <f aca="false">IF(A126="","",SUMIFS(Приход!$C$2:$C$1000,Приход!$B$2:$B$1000,A126))</f>
        <v/>
      </c>
      <c r="G126" s="7" t="str">
        <f aca="false">IF(A126="","",SUMIFS(Продажи!$F$2:$F$1000,Продажи!$D$2:$D$1000,A126))</f>
        <v/>
      </c>
      <c r="H126" s="7" t="str">
        <f aca="false">IF(A126="","",E126+F126-G126)</f>
        <v/>
      </c>
      <c r="I126" s="6"/>
      <c r="J126" s="7" t="str">
        <f aca="false">IF(A126="","",IF(H126&lt;=I126,"Заказать","ОК"))</f>
        <v/>
      </c>
    </row>
    <row r="127" customFormat="false" ht="15" hidden="false" customHeight="false" outlineLevel="0" collapsed="false">
      <c r="A127" s="6"/>
      <c r="B127" s="6"/>
      <c r="C127" s="10"/>
      <c r="D127" s="10"/>
      <c r="E127" s="6"/>
      <c r="F127" s="7" t="str">
        <f aca="false">IF(A127="","",SUMIFS(Приход!$C$2:$C$1000,Приход!$B$2:$B$1000,A127))</f>
        <v/>
      </c>
      <c r="G127" s="7" t="str">
        <f aca="false">IF(A127="","",SUMIFS(Продажи!$F$2:$F$1000,Продажи!$D$2:$D$1000,A127))</f>
        <v/>
      </c>
      <c r="H127" s="7" t="str">
        <f aca="false">IF(A127="","",E127+F127-G127)</f>
        <v/>
      </c>
      <c r="I127" s="6"/>
      <c r="J127" s="7" t="str">
        <f aca="false">IF(A127="","",IF(H127&lt;=I127,"Заказать","ОК"))</f>
        <v/>
      </c>
    </row>
    <row r="128" customFormat="false" ht="15" hidden="false" customHeight="false" outlineLevel="0" collapsed="false">
      <c r="A128" s="6"/>
      <c r="B128" s="6"/>
      <c r="C128" s="10"/>
      <c r="D128" s="10"/>
      <c r="E128" s="6"/>
      <c r="F128" s="7" t="str">
        <f aca="false">IF(A128="","",SUMIFS(Приход!$C$2:$C$1000,Приход!$B$2:$B$1000,A128))</f>
        <v/>
      </c>
      <c r="G128" s="7" t="str">
        <f aca="false">IF(A128="","",SUMIFS(Продажи!$F$2:$F$1000,Продажи!$D$2:$D$1000,A128))</f>
        <v/>
      </c>
      <c r="H128" s="7" t="str">
        <f aca="false">IF(A128="","",E128+F128-G128)</f>
        <v/>
      </c>
      <c r="I128" s="6"/>
      <c r="J128" s="7" t="str">
        <f aca="false">IF(A128="","",IF(H128&lt;=I128,"Заказать","ОК"))</f>
        <v/>
      </c>
    </row>
    <row r="129" customFormat="false" ht="15" hidden="false" customHeight="false" outlineLevel="0" collapsed="false">
      <c r="A129" s="6"/>
      <c r="B129" s="6"/>
      <c r="C129" s="10"/>
      <c r="D129" s="10"/>
      <c r="E129" s="6"/>
      <c r="F129" s="7" t="str">
        <f aca="false">IF(A129="","",SUMIFS(Приход!$C$2:$C$1000,Приход!$B$2:$B$1000,A129))</f>
        <v/>
      </c>
      <c r="G129" s="7" t="str">
        <f aca="false">IF(A129="","",SUMIFS(Продажи!$F$2:$F$1000,Продажи!$D$2:$D$1000,A129))</f>
        <v/>
      </c>
      <c r="H129" s="7" t="str">
        <f aca="false">IF(A129="","",E129+F129-G129)</f>
        <v/>
      </c>
      <c r="I129" s="6"/>
      <c r="J129" s="7" t="str">
        <f aca="false">IF(A129="","",IF(H129&lt;=I129,"Заказать","ОК"))</f>
        <v/>
      </c>
    </row>
    <row r="130" customFormat="false" ht="15" hidden="false" customHeight="false" outlineLevel="0" collapsed="false">
      <c r="A130" s="6"/>
      <c r="B130" s="6"/>
      <c r="C130" s="10"/>
      <c r="D130" s="10"/>
      <c r="E130" s="6"/>
      <c r="F130" s="7" t="str">
        <f aca="false">IF(A130="","",SUMIFS(Приход!$C$2:$C$1000,Приход!$B$2:$B$1000,A130))</f>
        <v/>
      </c>
      <c r="G130" s="7" t="str">
        <f aca="false">IF(A130="","",SUMIFS(Продажи!$F$2:$F$1000,Продажи!$D$2:$D$1000,A130))</f>
        <v/>
      </c>
      <c r="H130" s="7" t="str">
        <f aca="false">IF(A130="","",E130+F130-G130)</f>
        <v/>
      </c>
      <c r="I130" s="6"/>
      <c r="J130" s="7" t="str">
        <f aca="false">IF(A130="","",IF(H130&lt;=I130,"Заказать","ОК"))</f>
        <v/>
      </c>
    </row>
    <row r="131" customFormat="false" ht="15" hidden="false" customHeight="false" outlineLevel="0" collapsed="false">
      <c r="A131" s="6"/>
      <c r="B131" s="6"/>
      <c r="C131" s="10"/>
      <c r="D131" s="10"/>
      <c r="E131" s="6"/>
      <c r="F131" s="7" t="str">
        <f aca="false">IF(A131="","",SUMIFS(Приход!$C$2:$C$1000,Приход!$B$2:$B$1000,A131))</f>
        <v/>
      </c>
      <c r="G131" s="7" t="str">
        <f aca="false">IF(A131="","",SUMIFS(Продажи!$F$2:$F$1000,Продажи!$D$2:$D$1000,A131))</f>
        <v/>
      </c>
      <c r="H131" s="7" t="str">
        <f aca="false">IF(A131="","",E131+F131-G131)</f>
        <v/>
      </c>
      <c r="I131" s="6"/>
      <c r="J131" s="7" t="str">
        <f aca="false">IF(A131="","",IF(H131&lt;=I131,"Заказать","ОК"))</f>
        <v/>
      </c>
    </row>
    <row r="132" customFormat="false" ht="15" hidden="false" customHeight="false" outlineLevel="0" collapsed="false">
      <c r="A132" s="6"/>
      <c r="B132" s="6"/>
      <c r="C132" s="10"/>
      <c r="D132" s="10"/>
      <c r="E132" s="6"/>
      <c r="F132" s="7" t="str">
        <f aca="false">IF(A132="","",SUMIFS(Приход!$C$2:$C$1000,Приход!$B$2:$B$1000,A132))</f>
        <v/>
      </c>
      <c r="G132" s="7" t="str">
        <f aca="false">IF(A132="","",SUMIFS(Продажи!$F$2:$F$1000,Продажи!$D$2:$D$1000,A132))</f>
        <v/>
      </c>
      <c r="H132" s="7" t="str">
        <f aca="false">IF(A132="","",E132+F132-G132)</f>
        <v/>
      </c>
      <c r="I132" s="6"/>
      <c r="J132" s="7" t="str">
        <f aca="false">IF(A132="","",IF(H132&lt;=I132,"Заказать","ОК"))</f>
        <v/>
      </c>
    </row>
    <row r="133" customFormat="false" ht="15" hidden="false" customHeight="false" outlineLevel="0" collapsed="false">
      <c r="A133" s="6"/>
      <c r="B133" s="6"/>
      <c r="C133" s="10"/>
      <c r="D133" s="10"/>
      <c r="E133" s="6"/>
      <c r="F133" s="7" t="str">
        <f aca="false">IF(A133="","",SUMIFS(Приход!$C$2:$C$1000,Приход!$B$2:$B$1000,A133))</f>
        <v/>
      </c>
      <c r="G133" s="7" t="str">
        <f aca="false">IF(A133="","",SUMIFS(Продажи!$F$2:$F$1000,Продажи!$D$2:$D$1000,A133))</f>
        <v/>
      </c>
      <c r="H133" s="7" t="str">
        <f aca="false">IF(A133="","",E133+F133-G133)</f>
        <v/>
      </c>
      <c r="I133" s="6"/>
      <c r="J133" s="7" t="str">
        <f aca="false">IF(A133="","",IF(H133&lt;=I133,"Заказать","ОК"))</f>
        <v/>
      </c>
    </row>
    <row r="134" customFormat="false" ht="15" hidden="false" customHeight="false" outlineLevel="0" collapsed="false">
      <c r="A134" s="6"/>
      <c r="B134" s="6"/>
      <c r="C134" s="10"/>
      <c r="D134" s="10"/>
      <c r="E134" s="6"/>
      <c r="F134" s="7" t="str">
        <f aca="false">IF(A134="","",SUMIFS(Приход!$C$2:$C$1000,Приход!$B$2:$B$1000,A134))</f>
        <v/>
      </c>
      <c r="G134" s="7" t="str">
        <f aca="false">IF(A134="","",SUMIFS(Продажи!$F$2:$F$1000,Продажи!$D$2:$D$1000,A134))</f>
        <v/>
      </c>
      <c r="H134" s="7" t="str">
        <f aca="false">IF(A134="","",E134+F134-G134)</f>
        <v/>
      </c>
      <c r="I134" s="6"/>
      <c r="J134" s="7" t="str">
        <f aca="false">IF(A134="","",IF(H134&lt;=I134,"Заказать","ОК"))</f>
        <v/>
      </c>
    </row>
    <row r="135" customFormat="false" ht="15" hidden="false" customHeight="false" outlineLevel="0" collapsed="false">
      <c r="A135" s="6"/>
      <c r="B135" s="6"/>
      <c r="C135" s="10"/>
      <c r="D135" s="10"/>
      <c r="E135" s="6"/>
      <c r="F135" s="7" t="str">
        <f aca="false">IF(A135="","",SUMIFS(Приход!$C$2:$C$1000,Приход!$B$2:$B$1000,A135))</f>
        <v/>
      </c>
      <c r="G135" s="7" t="str">
        <f aca="false">IF(A135="","",SUMIFS(Продажи!$F$2:$F$1000,Продажи!$D$2:$D$1000,A135))</f>
        <v/>
      </c>
      <c r="H135" s="7" t="str">
        <f aca="false">IF(A135="","",E135+F135-G135)</f>
        <v/>
      </c>
      <c r="I135" s="6"/>
      <c r="J135" s="7" t="str">
        <f aca="false">IF(A135="","",IF(H135&lt;=I135,"Заказать","ОК"))</f>
        <v/>
      </c>
    </row>
    <row r="136" customFormat="false" ht="15" hidden="false" customHeight="false" outlineLevel="0" collapsed="false">
      <c r="A136" s="6"/>
      <c r="B136" s="6"/>
      <c r="C136" s="10"/>
      <c r="D136" s="10"/>
      <c r="E136" s="6"/>
      <c r="F136" s="7" t="str">
        <f aca="false">IF(A136="","",SUMIFS(Приход!$C$2:$C$1000,Приход!$B$2:$B$1000,A136))</f>
        <v/>
      </c>
      <c r="G136" s="7" t="str">
        <f aca="false">IF(A136="","",SUMIFS(Продажи!$F$2:$F$1000,Продажи!$D$2:$D$1000,A136))</f>
        <v/>
      </c>
      <c r="H136" s="7" t="str">
        <f aca="false">IF(A136="","",E136+F136-G136)</f>
        <v/>
      </c>
      <c r="I136" s="6"/>
      <c r="J136" s="7" t="str">
        <f aca="false">IF(A136="","",IF(H136&lt;=I136,"Заказать","ОК"))</f>
        <v/>
      </c>
    </row>
    <row r="137" customFormat="false" ht="15" hidden="false" customHeight="false" outlineLevel="0" collapsed="false">
      <c r="A137" s="6"/>
      <c r="B137" s="6"/>
      <c r="C137" s="10"/>
      <c r="D137" s="10"/>
      <c r="E137" s="6"/>
      <c r="F137" s="7" t="str">
        <f aca="false">IF(A137="","",SUMIFS(Приход!$C$2:$C$1000,Приход!$B$2:$B$1000,A137))</f>
        <v/>
      </c>
      <c r="G137" s="7" t="str">
        <f aca="false">IF(A137="","",SUMIFS(Продажи!$F$2:$F$1000,Продажи!$D$2:$D$1000,A137))</f>
        <v/>
      </c>
      <c r="H137" s="7" t="str">
        <f aca="false">IF(A137="","",E137+F137-G137)</f>
        <v/>
      </c>
      <c r="I137" s="6"/>
      <c r="J137" s="7" t="str">
        <f aca="false">IF(A137="","",IF(H137&lt;=I137,"Заказать","ОК"))</f>
        <v/>
      </c>
    </row>
    <row r="138" customFormat="false" ht="15" hidden="false" customHeight="false" outlineLevel="0" collapsed="false">
      <c r="A138" s="6"/>
      <c r="B138" s="6"/>
      <c r="C138" s="10"/>
      <c r="D138" s="10"/>
      <c r="E138" s="6"/>
      <c r="F138" s="7" t="str">
        <f aca="false">IF(A138="","",SUMIFS(Приход!$C$2:$C$1000,Приход!$B$2:$B$1000,A138))</f>
        <v/>
      </c>
      <c r="G138" s="7" t="str">
        <f aca="false">IF(A138="","",SUMIFS(Продажи!$F$2:$F$1000,Продажи!$D$2:$D$1000,A138))</f>
        <v/>
      </c>
      <c r="H138" s="7" t="str">
        <f aca="false">IF(A138="","",E138+F138-G138)</f>
        <v/>
      </c>
      <c r="I138" s="6"/>
      <c r="J138" s="7" t="str">
        <f aca="false">IF(A138="","",IF(H138&lt;=I138,"Заказать","ОК"))</f>
        <v/>
      </c>
    </row>
    <row r="139" customFormat="false" ht="15" hidden="false" customHeight="false" outlineLevel="0" collapsed="false">
      <c r="A139" s="6"/>
      <c r="B139" s="6"/>
      <c r="C139" s="10"/>
      <c r="D139" s="10"/>
      <c r="E139" s="6"/>
      <c r="F139" s="7" t="str">
        <f aca="false">IF(A139="","",SUMIFS(Приход!$C$2:$C$1000,Приход!$B$2:$B$1000,A139))</f>
        <v/>
      </c>
      <c r="G139" s="7" t="str">
        <f aca="false">IF(A139="","",SUMIFS(Продажи!$F$2:$F$1000,Продажи!$D$2:$D$1000,A139))</f>
        <v/>
      </c>
      <c r="H139" s="7" t="str">
        <f aca="false">IF(A139="","",E139+F139-G139)</f>
        <v/>
      </c>
      <c r="I139" s="6"/>
      <c r="J139" s="7" t="str">
        <f aca="false">IF(A139="","",IF(H139&lt;=I139,"Заказать","ОК"))</f>
        <v/>
      </c>
    </row>
    <row r="140" customFormat="false" ht="15" hidden="false" customHeight="false" outlineLevel="0" collapsed="false">
      <c r="A140" s="6"/>
      <c r="B140" s="6"/>
      <c r="C140" s="10"/>
      <c r="D140" s="10"/>
      <c r="E140" s="6"/>
      <c r="F140" s="7" t="str">
        <f aca="false">IF(A140="","",SUMIFS(Приход!$C$2:$C$1000,Приход!$B$2:$B$1000,A140))</f>
        <v/>
      </c>
      <c r="G140" s="7" t="str">
        <f aca="false">IF(A140="","",SUMIFS(Продажи!$F$2:$F$1000,Продажи!$D$2:$D$1000,A140))</f>
        <v/>
      </c>
      <c r="H140" s="7" t="str">
        <f aca="false">IF(A140="","",E140+F140-G140)</f>
        <v/>
      </c>
      <c r="I140" s="6"/>
      <c r="J140" s="7" t="str">
        <f aca="false">IF(A140="","",IF(H140&lt;=I140,"Заказать","ОК"))</f>
        <v/>
      </c>
    </row>
    <row r="141" customFormat="false" ht="15" hidden="false" customHeight="false" outlineLevel="0" collapsed="false">
      <c r="A141" s="6"/>
      <c r="B141" s="6"/>
      <c r="C141" s="10"/>
      <c r="D141" s="10"/>
      <c r="E141" s="6"/>
      <c r="F141" s="7" t="str">
        <f aca="false">IF(A141="","",SUMIFS(Приход!$C$2:$C$1000,Приход!$B$2:$B$1000,A141))</f>
        <v/>
      </c>
      <c r="G141" s="7" t="str">
        <f aca="false">IF(A141="","",SUMIFS(Продажи!$F$2:$F$1000,Продажи!$D$2:$D$1000,A141))</f>
        <v/>
      </c>
      <c r="H141" s="7" t="str">
        <f aca="false">IF(A141="","",E141+F141-G141)</f>
        <v/>
      </c>
      <c r="I141" s="6"/>
      <c r="J141" s="7" t="str">
        <f aca="false">IF(A141="","",IF(H141&lt;=I141,"Заказать","ОК"))</f>
        <v/>
      </c>
    </row>
    <row r="142" customFormat="false" ht="15" hidden="false" customHeight="false" outlineLevel="0" collapsed="false">
      <c r="A142" s="6"/>
      <c r="B142" s="6"/>
      <c r="C142" s="10"/>
      <c r="D142" s="10"/>
      <c r="E142" s="6"/>
      <c r="F142" s="7" t="str">
        <f aca="false">IF(A142="","",SUMIFS(Приход!$C$2:$C$1000,Приход!$B$2:$B$1000,A142))</f>
        <v/>
      </c>
      <c r="G142" s="7" t="str">
        <f aca="false">IF(A142="","",SUMIFS(Продажи!$F$2:$F$1000,Продажи!$D$2:$D$1000,A142))</f>
        <v/>
      </c>
      <c r="H142" s="7" t="str">
        <f aca="false">IF(A142="","",E142+F142-G142)</f>
        <v/>
      </c>
      <c r="I142" s="6"/>
      <c r="J142" s="7" t="str">
        <f aca="false">IF(A142="","",IF(H142&lt;=I142,"Заказать","ОК"))</f>
        <v/>
      </c>
    </row>
    <row r="143" customFormat="false" ht="15" hidden="false" customHeight="false" outlineLevel="0" collapsed="false">
      <c r="A143" s="6"/>
      <c r="B143" s="6"/>
      <c r="C143" s="10"/>
      <c r="D143" s="10"/>
      <c r="E143" s="6"/>
      <c r="F143" s="7" t="str">
        <f aca="false">IF(A143="","",SUMIFS(Приход!$C$2:$C$1000,Приход!$B$2:$B$1000,A143))</f>
        <v/>
      </c>
      <c r="G143" s="7" t="str">
        <f aca="false">IF(A143="","",SUMIFS(Продажи!$F$2:$F$1000,Продажи!$D$2:$D$1000,A143))</f>
        <v/>
      </c>
      <c r="H143" s="7" t="str">
        <f aca="false">IF(A143="","",E143+F143-G143)</f>
        <v/>
      </c>
      <c r="I143" s="6"/>
      <c r="J143" s="7" t="str">
        <f aca="false">IF(A143="","",IF(H143&lt;=I143,"Заказать","ОК"))</f>
        <v/>
      </c>
    </row>
    <row r="144" customFormat="false" ht="15" hidden="false" customHeight="false" outlineLevel="0" collapsed="false">
      <c r="A144" s="6"/>
      <c r="B144" s="6"/>
      <c r="C144" s="10"/>
      <c r="D144" s="10"/>
      <c r="E144" s="6"/>
      <c r="F144" s="7" t="str">
        <f aca="false">IF(A144="","",SUMIFS(Приход!$C$2:$C$1000,Приход!$B$2:$B$1000,A144))</f>
        <v/>
      </c>
      <c r="G144" s="7" t="str">
        <f aca="false">IF(A144="","",SUMIFS(Продажи!$F$2:$F$1000,Продажи!$D$2:$D$1000,A144))</f>
        <v/>
      </c>
      <c r="H144" s="7" t="str">
        <f aca="false">IF(A144="","",E144+F144-G144)</f>
        <v/>
      </c>
      <c r="I144" s="6"/>
      <c r="J144" s="7" t="str">
        <f aca="false">IF(A144="","",IF(H144&lt;=I144,"Заказать","ОК"))</f>
        <v/>
      </c>
    </row>
    <row r="145" customFormat="false" ht="15" hidden="false" customHeight="false" outlineLevel="0" collapsed="false">
      <c r="A145" s="6"/>
      <c r="B145" s="6"/>
      <c r="C145" s="10"/>
      <c r="D145" s="10"/>
      <c r="E145" s="6"/>
      <c r="F145" s="7" t="str">
        <f aca="false">IF(A145="","",SUMIFS(Приход!$C$2:$C$1000,Приход!$B$2:$B$1000,A145))</f>
        <v/>
      </c>
      <c r="G145" s="7" t="str">
        <f aca="false">IF(A145="","",SUMIFS(Продажи!$F$2:$F$1000,Продажи!$D$2:$D$1000,A145))</f>
        <v/>
      </c>
      <c r="H145" s="7" t="str">
        <f aca="false">IF(A145="","",E145+F145-G145)</f>
        <v/>
      </c>
      <c r="I145" s="6"/>
      <c r="J145" s="7" t="str">
        <f aca="false">IF(A145="","",IF(H145&lt;=I145,"Заказать","ОК"))</f>
        <v/>
      </c>
    </row>
    <row r="146" customFormat="false" ht="15" hidden="false" customHeight="false" outlineLevel="0" collapsed="false">
      <c r="A146" s="6"/>
      <c r="B146" s="6"/>
      <c r="C146" s="10"/>
      <c r="D146" s="10"/>
      <c r="E146" s="6"/>
      <c r="F146" s="7" t="str">
        <f aca="false">IF(A146="","",SUMIFS(Приход!$C$2:$C$1000,Приход!$B$2:$B$1000,A146))</f>
        <v/>
      </c>
      <c r="G146" s="7" t="str">
        <f aca="false">IF(A146="","",SUMIFS(Продажи!$F$2:$F$1000,Продажи!$D$2:$D$1000,A146))</f>
        <v/>
      </c>
      <c r="H146" s="7" t="str">
        <f aca="false">IF(A146="","",E146+F146-G146)</f>
        <v/>
      </c>
      <c r="I146" s="6"/>
      <c r="J146" s="7" t="str">
        <f aca="false">IF(A146="","",IF(H146&lt;=I146,"Заказать","ОК"))</f>
        <v/>
      </c>
    </row>
    <row r="147" customFormat="false" ht="15" hidden="false" customHeight="false" outlineLevel="0" collapsed="false">
      <c r="A147" s="6"/>
      <c r="B147" s="6"/>
      <c r="C147" s="10"/>
      <c r="D147" s="10"/>
      <c r="E147" s="6"/>
      <c r="F147" s="7" t="str">
        <f aca="false">IF(A147="","",SUMIFS(Приход!$C$2:$C$1000,Приход!$B$2:$B$1000,A147))</f>
        <v/>
      </c>
      <c r="G147" s="7" t="str">
        <f aca="false">IF(A147="","",SUMIFS(Продажи!$F$2:$F$1000,Продажи!$D$2:$D$1000,A147))</f>
        <v/>
      </c>
      <c r="H147" s="7" t="str">
        <f aca="false">IF(A147="","",E147+F147-G147)</f>
        <v/>
      </c>
      <c r="I147" s="6"/>
      <c r="J147" s="7" t="str">
        <f aca="false">IF(A147="","",IF(H147&lt;=I147,"Заказать","ОК"))</f>
        <v/>
      </c>
    </row>
    <row r="148" customFormat="false" ht="15" hidden="false" customHeight="false" outlineLevel="0" collapsed="false">
      <c r="A148" s="6"/>
      <c r="B148" s="6"/>
      <c r="C148" s="10"/>
      <c r="D148" s="10"/>
      <c r="E148" s="6"/>
      <c r="F148" s="7" t="str">
        <f aca="false">IF(A148="","",SUMIFS(Приход!$C$2:$C$1000,Приход!$B$2:$B$1000,A148))</f>
        <v/>
      </c>
      <c r="G148" s="7" t="str">
        <f aca="false">IF(A148="","",SUMIFS(Продажи!$F$2:$F$1000,Продажи!$D$2:$D$1000,A148))</f>
        <v/>
      </c>
      <c r="H148" s="7" t="str">
        <f aca="false">IF(A148="","",E148+F148-G148)</f>
        <v/>
      </c>
      <c r="I148" s="6"/>
      <c r="J148" s="7" t="str">
        <f aca="false">IF(A148="","",IF(H148&lt;=I148,"Заказать","ОК"))</f>
        <v/>
      </c>
    </row>
    <row r="149" customFormat="false" ht="15" hidden="false" customHeight="false" outlineLevel="0" collapsed="false">
      <c r="A149" s="6"/>
      <c r="B149" s="6"/>
      <c r="C149" s="10"/>
      <c r="D149" s="10"/>
      <c r="E149" s="6"/>
      <c r="F149" s="7" t="str">
        <f aca="false">IF(A149="","",SUMIFS(Приход!$C$2:$C$1000,Приход!$B$2:$B$1000,A149))</f>
        <v/>
      </c>
      <c r="G149" s="7" t="str">
        <f aca="false">IF(A149="","",SUMIFS(Продажи!$F$2:$F$1000,Продажи!$D$2:$D$1000,A149))</f>
        <v/>
      </c>
      <c r="H149" s="7" t="str">
        <f aca="false">IF(A149="","",E149+F149-G149)</f>
        <v/>
      </c>
      <c r="I149" s="6"/>
      <c r="J149" s="7" t="str">
        <f aca="false">IF(A149="","",IF(H149&lt;=I149,"Заказать","ОК"))</f>
        <v/>
      </c>
    </row>
    <row r="150" customFormat="false" ht="15" hidden="false" customHeight="false" outlineLevel="0" collapsed="false">
      <c r="A150" s="6"/>
      <c r="B150" s="6"/>
      <c r="C150" s="10"/>
      <c r="D150" s="10"/>
      <c r="E150" s="6"/>
      <c r="F150" s="7" t="str">
        <f aca="false">IF(A150="","",SUMIFS(Приход!$C$2:$C$1000,Приход!$B$2:$B$1000,A150))</f>
        <v/>
      </c>
      <c r="G150" s="7" t="str">
        <f aca="false">IF(A150="","",SUMIFS(Продажи!$F$2:$F$1000,Продажи!$D$2:$D$1000,A150))</f>
        <v/>
      </c>
      <c r="H150" s="7" t="str">
        <f aca="false">IF(A150="","",E150+F150-G150)</f>
        <v/>
      </c>
      <c r="I150" s="6"/>
      <c r="J150" s="7" t="str">
        <f aca="false">IF(A150="","",IF(H150&lt;=I150,"Заказать","ОК"))</f>
        <v/>
      </c>
    </row>
    <row r="151" customFormat="false" ht="15" hidden="false" customHeight="false" outlineLevel="0" collapsed="false">
      <c r="A151" s="6"/>
      <c r="B151" s="6"/>
      <c r="C151" s="10"/>
      <c r="D151" s="10"/>
      <c r="E151" s="6"/>
      <c r="F151" s="7" t="str">
        <f aca="false">IF(A151="","",SUMIFS(Приход!$C$2:$C$1000,Приход!$B$2:$B$1000,A151))</f>
        <v/>
      </c>
      <c r="G151" s="7" t="str">
        <f aca="false">IF(A151="","",SUMIFS(Продажи!$F$2:$F$1000,Продажи!$D$2:$D$1000,A151))</f>
        <v/>
      </c>
      <c r="H151" s="7" t="str">
        <f aca="false">IF(A151="","",E151+F151-G151)</f>
        <v/>
      </c>
      <c r="I151" s="6"/>
      <c r="J151" s="7" t="str">
        <f aca="false">IF(A151="","",IF(H151&lt;=I151,"Заказать","ОК"))</f>
        <v/>
      </c>
    </row>
    <row r="152" customFormat="false" ht="15" hidden="false" customHeight="false" outlineLevel="0" collapsed="false">
      <c r="A152" s="6"/>
      <c r="B152" s="6"/>
      <c r="C152" s="10"/>
      <c r="D152" s="10"/>
      <c r="E152" s="6"/>
      <c r="F152" s="7" t="str">
        <f aca="false">IF(A152="","",SUMIFS(Приход!$C$2:$C$1000,Приход!$B$2:$B$1000,A152))</f>
        <v/>
      </c>
      <c r="G152" s="7" t="str">
        <f aca="false">IF(A152="","",SUMIFS(Продажи!$F$2:$F$1000,Продажи!$D$2:$D$1000,A152))</f>
        <v/>
      </c>
      <c r="H152" s="7" t="str">
        <f aca="false">IF(A152="","",E152+F152-G152)</f>
        <v/>
      </c>
      <c r="I152" s="6"/>
      <c r="J152" s="7" t="str">
        <f aca="false">IF(A152="","",IF(H152&lt;=I152,"Заказать","ОК"))</f>
        <v/>
      </c>
    </row>
    <row r="153" customFormat="false" ht="15" hidden="false" customHeight="false" outlineLevel="0" collapsed="false">
      <c r="A153" s="6"/>
      <c r="B153" s="6"/>
      <c r="C153" s="10"/>
      <c r="D153" s="10"/>
      <c r="E153" s="6"/>
      <c r="F153" s="7" t="str">
        <f aca="false">IF(A153="","",SUMIFS(Приход!$C$2:$C$1000,Приход!$B$2:$B$1000,A153))</f>
        <v/>
      </c>
      <c r="G153" s="7" t="str">
        <f aca="false">IF(A153="","",SUMIFS(Продажи!$F$2:$F$1000,Продажи!$D$2:$D$1000,A153))</f>
        <v/>
      </c>
      <c r="H153" s="7" t="str">
        <f aca="false">IF(A153="","",E153+F153-G153)</f>
        <v/>
      </c>
      <c r="I153" s="6"/>
      <c r="J153" s="7" t="str">
        <f aca="false">IF(A153="","",IF(H153&lt;=I153,"Заказать","ОК"))</f>
        <v/>
      </c>
    </row>
    <row r="154" customFormat="false" ht="15" hidden="false" customHeight="false" outlineLevel="0" collapsed="false">
      <c r="A154" s="6"/>
      <c r="B154" s="6"/>
      <c r="C154" s="10"/>
      <c r="D154" s="10"/>
      <c r="E154" s="6"/>
      <c r="F154" s="7" t="str">
        <f aca="false">IF(A154="","",SUMIFS(Приход!$C$2:$C$1000,Приход!$B$2:$B$1000,A154))</f>
        <v/>
      </c>
      <c r="G154" s="7" t="str">
        <f aca="false">IF(A154="","",SUMIFS(Продажи!$F$2:$F$1000,Продажи!$D$2:$D$1000,A154))</f>
        <v/>
      </c>
      <c r="H154" s="7" t="str">
        <f aca="false">IF(A154="","",E154+F154-G154)</f>
        <v/>
      </c>
      <c r="I154" s="6"/>
      <c r="J154" s="7" t="str">
        <f aca="false">IF(A154="","",IF(H154&lt;=I154,"Заказать","ОК"))</f>
        <v/>
      </c>
    </row>
    <row r="155" customFormat="false" ht="15" hidden="false" customHeight="false" outlineLevel="0" collapsed="false">
      <c r="A155" s="6"/>
      <c r="B155" s="6"/>
      <c r="C155" s="10"/>
      <c r="D155" s="10"/>
      <c r="E155" s="6"/>
      <c r="F155" s="7" t="str">
        <f aca="false">IF(A155="","",SUMIFS(Приход!$C$2:$C$1000,Приход!$B$2:$B$1000,A155))</f>
        <v/>
      </c>
      <c r="G155" s="7" t="str">
        <f aca="false">IF(A155="","",SUMIFS(Продажи!$F$2:$F$1000,Продажи!$D$2:$D$1000,A155))</f>
        <v/>
      </c>
      <c r="H155" s="7" t="str">
        <f aca="false">IF(A155="","",E155+F155-G155)</f>
        <v/>
      </c>
      <c r="I155" s="6"/>
      <c r="J155" s="7" t="str">
        <f aca="false">IF(A155="","",IF(H155&lt;=I155,"Заказать","ОК"))</f>
        <v/>
      </c>
    </row>
    <row r="156" customFormat="false" ht="15" hidden="false" customHeight="false" outlineLevel="0" collapsed="false">
      <c r="A156" s="6"/>
      <c r="B156" s="6"/>
      <c r="C156" s="10"/>
      <c r="D156" s="10"/>
      <c r="E156" s="6"/>
      <c r="F156" s="7" t="str">
        <f aca="false">IF(A156="","",SUMIFS(Приход!$C$2:$C$1000,Приход!$B$2:$B$1000,A156))</f>
        <v/>
      </c>
      <c r="G156" s="7" t="str">
        <f aca="false">IF(A156="","",SUMIFS(Продажи!$F$2:$F$1000,Продажи!$D$2:$D$1000,A156))</f>
        <v/>
      </c>
      <c r="H156" s="7" t="str">
        <f aca="false">IF(A156="","",E156+F156-G156)</f>
        <v/>
      </c>
      <c r="I156" s="6"/>
      <c r="J156" s="7" t="str">
        <f aca="false">IF(A156="","",IF(H156&lt;=I156,"Заказать","ОК"))</f>
        <v/>
      </c>
    </row>
    <row r="157" customFormat="false" ht="15" hidden="false" customHeight="false" outlineLevel="0" collapsed="false">
      <c r="A157" s="6"/>
      <c r="B157" s="6"/>
      <c r="C157" s="10"/>
      <c r="D157" s="10"/>
      <c r="E157" s="6"/>
      <c r="F157" s="7" t="str">
        <f aca="false">IF(A157="","",SUMIFS(Приход!$C$2:$C$1000,Приход!$B$2:$B$1000,A157))</f>
        <v/>
      </c>
      <c r="G157" s="7" t="str">
        <f aca="false">IF(A157="","",SUMIFS(Продажи!$F$2:$F$1000,Продажи!$D$2:$D$1000,A157))</f>
        <v/>
      </c>
      <c r="H157" s="7" t="str">
        <f aca="false">IF(A157="","",E157+F157-G157)</f>
        <v/>
      </c>
      <c r="I157" s="6"/>
      <c r="J157" s="7" t="str">
        <f aca="false">IF(A157="","",IF(H157&lt;=I157,"Заказать","ОК"))</f>
        <v/>
      </c>
    </row>
    <row r="158" customFormat="false" ht="15" hidden="false" customHeight="false" outlineLevel="0" collapsed="false">
      <c r="A158" s="6"/>
      <c r="B158" s="6"/>
      <c r="C158" s="10"/>
      <c r="D158" s="10"/>
      <c r="E158" s="6"/>
      <c r="F158" s="7" t="str">
        <f aca="false">IF(A158="","",SUMIFS(Приход!$C$2:$C$1000,Приход!$B$2:$B$1000,A158))</f>
        <v/>
      </c>
      <c r="G158" s="7" t="str">
        <f aca="false">IF(A158="","",SUMIFS(Продажи!$F$2:$F$1000,Продажи!$D$2:$D$1000,A158))</f>
        <v/>
      </c>
      <c r="H158" s="7" t="str">
        <f aca="false">IF(A158="","",E158+F158-G158)</f>
        <v/>
      </c>
      <c r="I158" s="6"/>
      <c r="J158" s="7" t="str">
        <f aca="false">IF(A158="","",IF(H158&lt;=I158,"Заказать","ОК"))</f>
        <v/>
      </c>
    </row>
    <row r="159" customFormat="false" ht="15" hidden="false" customHeight="false" outlineLevel="0" collapsed="false">
      <c r="A159" s="6"/>
      <c r="B159" s="6"/>
      <c r="C159" s="10"/>
      <c r="D159" s="10"/>
      <c r="E159" s="6"/>
      <c r="F159" s="7" t="str">
        <f aca="false">IF(A159="","",SUMIFS(Приход!$C$2:$C$1000,Приход!$B$2:$B$1000,A159))</f>
        <v/>
      </c>
      <c r="G159" s="7" t="str">
        <f aca="false">IF(A159="","",SUMIFS(Продажи!$F$2:$F$1000,Продажи!$D$2:$D$1000,A159))</f>
        <v/>
      </c>
      <c r="H159" s="7" t="str">
        <f aca="false">IF(A159="","",E159+F159-G159)</f>
        <v/>
      </c>
      <c r="I159" s="6"/>
      <c r="J159" s="7" t="str">
        <f aca="false">IF(A159="","",IF(H159&lt;=I159,"Заказать","ОК"))</f>
        <v/>
      </c>
    </row>
    <row r="160" customFormat="false" ht="15" hidden="false" customHeight="false" outlineLevel="0" collapsed="false">
      <c r="A160" s="6"/>
      <c r="B160" s="6"/>
      <c r="C160" s="10"/>
      <c r="D160" s="10"/>
      <c r="E160" s="6"/>
      <c r="F160" s="7" t="str">
        <f aca="false">IF(A160="","",SUMIFS(Приход!$C$2:$C$1000,Приход!$B$2:$B$1000,A160))</f>
        <v/>
      </c>
      <c r="G160" s="7" t="str">
        <f aca="false">IF(A160="","",SUMIFS(Продажи!$F$2:$F$1000,Продажи!$D$2:$D$1000,A160))</f>
        <v/>
      </c>
      <c r="H160" s="7" t="str">
        <f aca="false">IF(A160="","",E160+F160-G160)</f>
        <v/>
      </c>
      <c r="I160" s="6"/>
      <c r="J160" s="7" t="str">
        <f aca="false">IF(A160="","",IF(H160&lt;=I160,"Заказать","ОК"))</f>
        <v/>
      </c>
    </row>
    <row r="161" customFormat="false" ht="15" hidden="false" customHeight="false" outlineLevel="0" collapsed="false">
      <c r="A161" s="6"/>
      <c r="B161" s="6"/>
      <c r="C161" s="10"/>
      <c r="D161" s="10"/>
      <c r="E161" s="6"/>
      <c r="F161" s="7" t="str">
        <f aca="false">IF(A161="","",SUMIFS(Приход!$C$2:$C$1000,Приход!$B$2:$B$1000,A161))</f>
        <v/>
      </c>
      <c r="G161" s="7" t="str">
        <f aca="false">IF(A161="","",SUMIFS(Продажи!$F$2:$F$1000,Продажи!$D$2:$D$1000,A161))</f>
        <v/>
      </c>
      <c r="H161" s="7" t="str">
        <f aca="false">IF(A161="","",E161+F161-G161)</f>
        <v/>
      </c>
      <c r="I161" s="6"/>
      <c r="J161" s="7" t="str">
        <f aca="false">IF(A161="","",IF(H161&lt;=I161,"Заказать","ОК"))</f>
        <v/>
      </c>
    </row>
    <row r="162" customFormat="false" ht="15" hidden="false" customHeight="false" outlineLevel="0" collapsed="false">
      <c r="A162" s="6"/>
      <c r="B162" s="6"/>
      <c r="C162" s="10"/>
      <c r="D162" s="10"/>
      <c r="E162" s="6"/>
      <c r="F162" s="7" t="str">
        <f aca="false">IF(A162="","",SUMIFS(Приход!$C$2:$C$1000,Приход!$B$2:$B$1000,A162))</f>
        <v/>
      </c>
      <c r="G162" s="7" t="str">
        <f aca="false">IF(A162="","",SUMIFS(Продажи!$F$2:$F$1000,Продажи!$D$2:$D$1000,A162))</f>
        <v/>
      </c>
      <c r="H162" s="7" t="str">
        <f aca="false">IF(A162="","",E162+F162-G162)</f>
        <v/>
      </c>
      <c r="I162" s="6"/>
      <c r="J162" s="7" t="str">
        <f aca="false">IF(A162="","",IF(H162&lt;=I162,"Заказать","ОК"))</f>
        <v/>
      </c>
    </row>
    <row r="163" customFormat="false" ht="15" hidden="false" customHeight="false" outlineLevel="0" collapsed="false">
      <c r="A163" s="6"/>
      <c r="B163" s="6"/>
      <c r="C163" s="10"/>
      <c r="D163" s="10"/>
      <c r="E163" s="6"/>
      <c r="F163" s="7" t="str">
        <f aca="false">IF(A163="","",SUMIFS(Приход!$C$2:$C$1000,Приход!$B$2:$B$1000,A163))</f>
        <v/>
      </c>
      <c r="G163" s="7" t="str">
        <f aca="false">IF(A163="","",SUMIFS(Продажи!$F$2:$F$1000,Продажи!$D$2:$D$1000,A163))</f>
        <v/>
      </c>
      <c r="H163" s="7" t="str">
        <f aca="false">IF(A163="","",E163+F163-G163)</f>
        <v/>
      </c>
      <c r="I163" s="6"/>
      <c r="J163" s="7" t="str">
        <f aca="false">IF(A163="","",IF(H163&lt;=I163,"Заказать","ОК"))</f>
        <v/>
      </c>
    </row>
    <row r="164" customFormat="false" ht="15" hidden="false" customHeight="false" outlineLevel="0" collapsed="false">
      <c r="A164" s="6"/>
      <c r="B164" s="6"/>
      <c r="C164" s="10"/>
      <c r="D164" s="10"/>
      <c r="E164" s="6"/>
      <c r="F164" s="7" t="str">
        <f aca="false">IF(A164="","",SUMIFS(Приход!$C$2:$C$1000,Приход!$B$2:$B$1000,A164))</f>
        <v/>
      </c>
      <c r="G164" s="7" t="str">
        <f aca="false">IF(A164="","",SUMIFS(Продажи!$F$2:$F$1000,Продажи!$D$2:$D$1000,A164))</f>
        <v/>
      </c>
      <c r="H164" s="7" t="str">
        <f aca="false">IF(A164="","",E164+F164-G164)</f>
        <v/>
      </c>
      <c r="I164" s="6"/>
      <c r="J164" s="7" t="str">
        <f aca="false">IF(A164="","",IF(H164&lt;=I164,"Заказать","ОК"))</f>
        <v/>
      </c>
    </row>
    <row r="165" customFormat="false" ht="15" hidden="false" customHeight="false" outlineLevel="0" collapsed="false">
      <c r="A165" s="6"/>
      <c r="B165" s="6"/>
      <c r="C165" s="10"/>
      <c r="D165" s="10"/>
      <c r="E165" s="6"/>
      <c r="F165" s="7" t="str">
        <f aca="false">IF(A165="","",SUMIFS(Приход!$C$2:$C$1000,Приход!$B$2:$B$1000,A165))</f>
        <v/>
      </c>
      <c r="G165" s="7" t="str">
        <f aca="false">IF(A165="","",SUMIFS(Продажи!$F$2:$F$1000,Продажи!$D$2:$D$1000,A165))</f>
        <v/>
      </c>
      <c r="H165" s="7" t="str">
        <f aca="false">IF(A165="","",E165+F165-G165)</f>
        <v/>
      </c>
      <c r="I165" s="6"/>
      <c r="J165" s="7" t="str">
        <f aca="false">IF(A165="","",IF(H165&lt;=I165,"Заказать","ОК"))</f>
        <v/>
      </c>
    </row>
    <row r="166" customFormat="false" ht="15" hidden="false" customHeight="false" outlineLevel="0" collapsed="false">
      <c r="A166" s="6"/>
      <c r="B166" s="6"/>
      <c r="C166" s="10"/>
      <c r="D166" s="10"/>
      <c r="E166" s="6"/>
      <c r="F166" s="7" t="str">
        <f aca="false">IF(A166="","",SUMIFS(Приход!$C$2:$C$1000,Приход!$B$2:$B$1000,A166))</f>
        <v/>
      </c>
      <c r="G166" s="7" t="str">
        <f aca="false">IF(A166="","",SUMIFS(Продажи!$F$2:$F$1000,Продажи!$D$2:$D$1000,A166))</f>
        <v/>
      </c>
      <c r="H166" s="7" t="str">
        <f aca="false">IF(A166="","",E166+F166-G166)</f>
        <v/>
      </c>
      <c r="I166" s="6"/>
      <c r="J166" s="7" t="str">
        <f aca="false">IF(A166="","",IF(H166&lt;=I166,"Заказать","ОК"))</f>
        <v/>
      </c>
    </row>
    <row r="167" customFormat="false" ht="15" hidden="false" customHeight="false" outlineLevel="0" collapsed="false">
      <c r="A167" s="6"/>
      <c r="B167" s="6"/>
      <c r="C167" s="10"/>
      <c r="D167" s="10"/>
      <c r="E167" s="6"/>
      <c r="F167" s="7" t="str">
        <f aca="false">IF(A167="","",SUMIFS(Приход!$C$2:$C$1000,Приход!$B$2:$B$1000,A167))</f>
        <v/>
      </c>
      <c r="G167" s="7" t="str">
        <f aca="false">IF(A167="","",SUMIFS(Продажи!$F$2:$F$1000,Продажи!$D$2:$D$1000,A167))</f>
        <v/>
      </c>
      <c r="H167" s="7" t="str">
        <f aca="false">IF(A167="","",E167+F167-G167)</f>
        <v/>
      </c>
      <c r="I167" s="6"/>
      <c r="J167" s="7" t="str">
        <f aca="false">IF(A167="","",IF(H167&lt;=I167,"Заказать","ОК"))</f>
        <v/>
      </c>
    </row>
    <row r="168" customFormat="false" ht="15" hidden="false" customHeight="false" outlineLevel="0" collapsed="false">
      <c r="A168" s="6"/>
      <c r="B168" s="6"/>
      <c r="C168" s="10"/>
      <c r="D168" s="10"/>
      <c r="E168" s="6"/>
      <c r="F168" s="7" t="str">
        <f aca="false">IF(A168="","",SUMIFS(Приход!$C$2:$C$1000,Приход!$B$2:$B$1000,A168))</f>
        <v/>
      </c>
      <c r="G168" s="7" t="str">
        <f aca="false">IF(A168="","",SUMIFS(Продажи!$F$2:$F$1000,Продажи!$D$2:$D$1000,A168))</f>
        <v/>
      </c>
      <c r="H168" s="7" t="str">
        <f aca="false">IF(A168="","",E168+F168-G168)</f>
        <v/>
      </c>
      <c r="I168" s="6"/>
      <c r="J168" s="7" t="str">
        <f aca="false">IF(A168="","",IF(H168&lt;=I168,"Заказать","ОК"))</f>
        <v/>
      </c>
    </row>
    <row r="169" customFormat="false" ht="15" hidden="false" customHeight="false" outlineLevel="0" collapsed="false">
      <c r="A169" s="6"/>
      <c r="B169" s="6"/>
      <c r="C169" s="10"/>
      <c r="D169" s="10"/>
      <c r="E169" s="6"/>
      <c r="F169" s="7" t="str">
        <f aca="false">IF(A169="","",SUMIFS(Приход!$C$2:$C$1000,Приход!$B$2:$B$1000,A169))</f>
        <v/>
      </c>
      <c r="G169" s="7" t="str">
        <f aca="false">IF(A169="","",SUMIFS(Продажи!$F$2:$F$1000,Продажи!$D$2:$D$1000,A169))</f>
        <v/>
      </c>
      <c r="H169" s="7" t="str">
        <f aca="false">IF(A169="","",E169+F169-G169)</f>
        <v/>
      </c>
      <c r="I169" s="6"/>
      <c r="J169" s="7" t="str">
        <f aca="false">IF(A169="","",IF(H169&lt;=I169,"Заказать","ОК"))</f>
        <v/>
      </c>
    </row>
    <row r="170" customFormat="false" ht="15" hidden="false" customHeight="false" outlineLevel="0" collapsed="false">
      <c r="A170" s="6"/>
      <c r="B170" s="6"/>
      <c r="C170" s="10"/>
      <c r="D170" s="10"/>
      <c r="E170" s="6"/>
      <c r="F170" s="7" t="str">
        <f aca="false">IF(A170="","",SUMIFS(Приход!$C$2:$C$1000,Приход!$B$2:$B$1000,A170))</f>
        <v/>
      </c>
      <c r="G170" s="7" t="str">
        <f aca="false">IF(A170="","",SUMIFS(Продажи!$F$2:$F$1000,Продажи!$D$2:$D$1000,A170))</f>
        <v/>
      </c>
      <c r="H170" s="7" t="str">
        <f aca="false">IF(A170="","",E170+F170-G170)</f>
        <v/>
      </c>
      <c r="I170" s="6"/>
      <c r="J170" s="7" t="str">
        <f aca="false">IF(A170="","",IF(H170&lt;=I170,"Заказать","ОК"))</f>
        <v/>
      </c>
    </row>
    <row r="171" customFormat="false" ht="15" hidden="false" customHeight="false" outlineLevel="0" collapsed="false">
      <c r="A171" s="6"/>
      <c r="B171" s="6"/>
      <c r="C171" s="10"/>
      <c r="D171" s="10"/>
      <c r="E171" s="6"/>
      <c r="F171" s="7" t="str">
        <f aca="false">IF(A171="","",SUMIFS(Приход!$C$2:$C$1000,Приход!$B$2:$B$1000,A171))</f>
        <v/>
      </c>
      <c r="G171" s="7" t="str">
        <f aca="false">IF(A171="","",SUMIFS(Продажи!$F$2:$F$1000,Продажи!$D$2:$D$1000,A171))</f>
        <v/>
      </c>
      <c r="H171" s="7" t="str">
        <f aca="false">IF(A171="","",E171+F171-G171)</f>
        <v/>
      </c>
      <c r="I171" s="6"/>
      <c r="J171" s="7" t="str">
        <f aca="false">IF(A171="","",IF(H171&lt;=I171,"Заказать","ОК"))</f>
        <v/>
      </c>
    </row>
    <row r="172" customFormat="false" ht="15" hidden="false" customHeight="false" outlineLevel="0" collapsed="false">
      <c r="A172" s="6"/>
      <c r="B172" s="6"/>
      <c r="C172" s="10"/>
      <c r="D172" s="10"/>
      <c r="E172" s="6"/>
      <c r="F172" s="7" t="str">
        <f aca="false">IF(A172="","",SUMIFS(Приход!$C$2:$C$1000,Приход!$B$2:$B$1000,A172))</f>
        <v/>
      </c>
      <c r="G172" s="7" t="str">
        <f aca="false">IF(A172="","",SUMIFS(Продажи!$F$2:$F$1000,Продажи!$D$2:$D$1000,A172))</f>
        <v/>
      </c>
      <c r="H172" s="7" t="str">
        <f aca="false">IF(A172="","",E172+F172-G172)</f>
        <v/>
      </c>
      <c r="I172" s="6"/>
      <c r="J172" s="7" t="str">
        <f aca="false">IF(A172="","",IF(H172&lt;=I172,"Заказать","ОК"))</f>
        <v/>
      </c>
    </row>
    <row r="173" customFormat="false" ht="15" hidden="false" customHeight="false" outlineLevel="0" collapsed="false">
      <c r="A173" s="6"/>
      <c r="B173" s="6"/>
      <c r="C173" s="10"/>
      <c r="D173" s="10"/>
      <c r="E173" s="6"/>
      <c r="F173" s="7" t="str">
        <f aca="false">IF(A173="","",SUMIFS(Приход!$C$2:$C$1000,Приход!$B$2:$B$1000,A173))</f>
        <v/>
      </c>
      <c r="G173" s="7" t="str">
        <f aca="false">IF(A173="","",SUMIFS(Продажи!$F$2:$F$1000,Продажи!$D$2:$D$1000,A173))</f>
        <v/>
      </c>
      <c r="H173" s="7" t="str">
        <f aca="false">IF(A173="","",E173+F173-G173)</f>
        <v/>
      </c>
      <c r="I173" s="6"/>
      <c r="J173" s="7" t="str">
        <f aca="false">IF(A173="","",IF(H173&lt;=I173,"Заказать","ОК"))</f>
        <v/>
      </c>
    </row>
    <row r="174" customFormat="false" ht="15" hidden="false" customHeight="false" outlineLevel="0" collapsed="false">
      <c r="A174" s="6"/>
      <c r="B174" s="6"/>
      <c r="C174" s="10"/>
      <c r="D174" s="10"/>
      <c r="E174" s="6"/>
      <c r="F174" s="7" t="str">
        <f aca="false">IF(A174="","",SUMIFS(Приход!$C$2:$C$1000,Приход!$B$2:$B$1000,A174))</f>
        <v/>
      </c>
      <c r="G174" s="7" t="str">
        <f aca="false">IF(A174="","",SUMIFS(Продажи!$F$2:$F$1000,Продажи!$D$2:$D$1000,A174))</f>
        <v/>
      </c>
      <c r="H174" s="7" t="str">
        <f aca="false">IF(A174="","",E174+F174-G174)</f>
        <v/>
      </c>
      <c r="I174" s="6"/>
      <c r="J174" s="7" t="str">
        <f aca="false">IF(A174="","",IF(H174&lt;=I174,"Заказать","ОК"))</f>
        <v/>
      </c>
    </row>
    <row r="175" customFormat="false" ht="15" hidden="false" customHeight="false" outlineLevel="0" collapsed="false">
      <c r="A175" s="6"/>
      <c r="B175" s="6"/>
      <c r="C175" s="10"/>
      <c r="D175" s="10"/>
      <c r="E175" s="6"/>
      <c r="F175" s="7" t="str">
        <f aca="false">IF(A175="","",SUMIFS(Приход!$C$2:$C$1000,Приход!$B$2:$B$1000,A175))</f>
        <v/>
      </c>
      <c r="G175" s="7" t="str">
        <f aca="false">IF(A175="","",SUMIFS(Продажи!$F$2:$F$1000,Продажи!$D$2:$D$1000,A175))</f>
        <v/>
      </c>
      <c r="H175" s="7" t="str">
        <f aca="false">IF(A175="","",E175+F175-G175)</f>
        <v/>
      </c>
      <c r="I175" s="6"/>
      <c r="J175" s="7" t="str">
        <f aca="false">IF(A175="","",IF(H175&lt;=I175,"Заказать","ОК"))</f>
        <v/>
      </c>
    </row>
    <row r="176" customFormat="false" ht="15" hidden="false" customHeight="false" outlineLevel="0" collapsed="false">
      <c r="A176" s="6"/>
      <c r="B176" s="6"/>
      <c r="C176" s="10"/>
      <c r="D176" s="10"/>
      <c r="E176" s="6"/>
      <c r="F176" s="7" t="str">
        <f aca="false">IF(A176="","",SUMIFS(Приход!$C$2:$C$1000,Приход!$B$2:$B$1000,A176))</f>
        <v/>
      </c>
      <c r="G176" s="7" t="str">
        <f aca="false">IF(A176="","",SUMIFS(Продажи!$F$2:$F$1000,Продажи!$D$2:$D$1000,A176))</f>
        <v/>
      </c>
      <c r="H176" s="7" t="str">
        <f aca="false">IF(A176="","",E176+F176-G176)</f>
        <v/>
      </c>
      <c r="I176" s="6"/>
      <c r="J176" s="7" t="str">
        <f aca="false">IF(A176="","",IF(H176&lt;=I176,"Заказать","ОК"))</f>
        <v/>
      </c>
    </row>
    <row r="177" customFormat="false" ht="15" hidden="false" customHeight="false" outlineLevel="0" collapsed="false">
      <c r="A177" s="6"/>
      <c r="B177" s="6"/>
      <c r="C177" s="10"/>
      <c r="D177" s="10"/>
      <c r="E177" s="6"/>
      <c r="F177" s="7" t="str">
        <f aca="false">IF(A177="","",SUMIFS(Приход!$C$2:$C$1000,Приход!$B$2:$B$1000,A177))</f>
        <v/>
      </c>
      <c r="G177" s="7" t="str">
        <f aca="false">IF(A177="","",SUMIFS(Продажи!$F$2:$F$1000,Продажи!$D$2:$D$1000,A177))</f>
        <v/>
      </c>
      <c r="H177" s="7" t="str">
        <f aca="false">IF(A177="","",E177+F177-G177)</f>
        <v/>
      </c>
      <c r="I177" s="6"/>
      <c r="J177" s="7" t="str">
        <f aca="false">IF(A177="","",IF(H177&lt;=I177,"Заказать","ОК"))</f>
        <v/>
      </c>
    </row>
    <row r="178" customFormat="false" ht="15" hidden="false" customHeight="false" outlineLevel="0" collapsed="false">
      <c r="A178" s="6"/>
      <c r="B178" s="6"/>
      <c r="C178" s="10"/>
      <c r="D178" s="10"/>
      <c r="E178" s="6"/>
      <c r="F178" s="7" t="str">
        <f aca="false">IF(A178="","",SUMIFS(Приход!$C$2:$C$1000,Приход!$B$2:$B$1000,A178))</f>
        <v/>
      </c>
      <c r="G178" s="7" t="str">
        <f aca="false">IF(A178="","",SUMIFS(Продажи!$F$2:$F$1000,Продажи!$D$2:$D$1000,A178))</f>
        <v/>
      </c>
      <c r="H178" s="7" t="str">
        <f aca="false">IF(A178="","",E178+F178-G178)</f>
        <v/>
      </c>
      <c r="I178" s="6"/>
      <c r="J178" s="7" t="str">
        <f aca="false">IF(A178="","",IF(H178&lt;=I178,"Заказать","ОК"))</f>
        <v/>
      </c>
    </row>
    <row r="179" customFormat="false" ht="15" hidden="false" customHeight="false" outlineLevel="0" collapsed="false">
      <c r="A179" s="6"/>
      <c r="B179" s="6"/>
      <c r="C179" s="10"/>
      <c r="D179" s="10"/>
      <c r="E179" s="6"/>
      <c r="F179" s="7" t="str">
        <f aca="false">IF(A179="","",SUMIFS(Приход!$C$2:$C$1000,Приход!$B$2:$B$1000,A179))</f>
        <v/>
      </c>
      <c r="G179" s="7" t="str">
        <f aca="false">IF(A179="","",SUMIFS(Продажи!$F$2:$F$1000,Продажи!$D$2:$D$1000,A179))</f>
        <v/>
      </c>
      <c r="H179" s="7" t="str">
        <f aca="false">IF(A179="","",E179+F179-G179)</f>
        <v/>
      </c>
      <c r="I179" s="6"/>
      <c r="J179" s="7" t="str">
        <f aca="false">IF(A179="","",IF(H179&lt;=I179,"Заказать","ОК"))</f>
        <v/>
      </c>
    </row>
    <row r="180" customFormat="false" ht="15" hidden="false" customHeight="false" outlineLevel="0" collapsed="false">
      <c r="A180" s="6"/>
      <c r="B180" s="6"/>
      <c r="C180" s="10"/>
      <c r="D180" s="10"/>
      <c r="E180" s="6"/>
      <c r="F180" s="7" t="str">
        <f aca="false">IF(A180="","",SUMIFS(Приход!$C$2:$C$1000,Приход!$B$2:$B$1000,A180))</f>
        <v/>
      </c>
      <c r="G180" s="7" t="str">
        <f aca="false">IF(A180="","",SUMIFS(Продажи!$F$2:$F$1000,Продажи!$D$2:$D$1000,A180))</f>
        <v/>
      </c>
      <c r="H180" s="7" t="str">
        <f aca="false">IF(A180="","",E180+F180-G180)</f>
        <v/>
      </c>
      <c r="I180" s="6"/>
      <c r="J180" s="7" t="str">
        <f aca="false">IF(A180="","",IF(H180&lt;=I180,"Заказать","ОК"))</f>
        <v/>
      </c>
    </row>
    <row r="181" customFormat="false" ht="15" hidden="false" customHeight="false" outlineLevel="0" collapsed="false">
      <c r="A181" s="6"/>
      <c r="B181" s="6"/>
      <c r="C181" s="10"/>
      <c r="D181" s="10"/>
      <c r="E181" s="6"/>
      <c r="F181" s="7" t="str">
        <f aca="false">IF(A181="","",SUMIFS(Приход!$C$2:$C$1000,Приход!$B$2:$B$1000,A181))</f>
        <v/>
      </c>
      <c r="G181" s="7" t="str">
        <f aca="false">IF(A181="","",SUMIFS(Продажи!$F$2:$F$1000,Продажи!$D$2:$D$1000,A181))</f>
        <v/>
      </c>
      <c r="H181" s="7" t="str">
        <f aca="false">IF(A181="","",E181+F181-G181)</f>
        <v/>
      </c>
      <c r="I181" s="6"/>
      <c r="J181" s="7" t="str">
        <f aca="false">IF(A181="","",IF(H181&lt;=I181,"Заказать","ОК"))</f>
        <v/>
      </c>
    </row>
    <row r="182" customFormat="false" ht="15" hidden="false" customHeight="false" outlineLevel="0" collapsed="false">
      <c r="A182" s="6"/>
      <c r="B182" s="6"/>
      <c r="C182" s="10"/>
      <c r="D182" s="10"/>
      <c r="E182" s="6"/>
      <c r="F182" s="7" t="str">
        <f aca="false">IF(A182="","",SUMIFS(Приход!$C$2:$C$1000,Приход!$B$2:$B$1000,A182))</f>
        <v/>
      </c>
      <c r="G182" s="7" t="str">
        <f aca="false">IF(A182="","",SUMIFS(Продажи!$F$2:$F$1000,Продажи!$D$2:$D$1000,A182))</f>
        <v/>
      </c>
      <c r="H182" s="7" t="str">
        <f aca="false">IF(A182="","",E182+F182-G182)</f>
        <v/>
      </c>
      <c r="I182" s="6"/>
      <c r="J182" s="7" t="str">
        <f aca="false">IF(A182="","",IF(H182&lt;=I182,"Заказать","ОК"))</f>
        <v/>
      </c>
    </row>
    <row r="183" customFormat="false" ht="15" hidden="false" customHeight="false" outlineLevel="0" collapsed="false">
      <c r="A183" s="6"/>
      <c r="B183" s="6"/>
      <c r="C183" s="10"/>
      <c r="D183" s="10"/>
      <c r="E183" s="6"/>
      <c r="F183" s="7" t="str">
        <f aca="false">IF(A183="","",SUMIFS(Приход!$C$2:$C$1000,Приход!$B$2:$B$1000,A183))</f>
        <v/>
      </c>
      <c r="G183" s="7" t="str">
        <f aca="false">IF(A183="","",SUMIFS(Продажи!$F$2:$F$1000,Продажи!$D$2:$D$1000,A183))</f>
        <v/>
      </c>
      <c r="H183" s="7" t="str">
        <f aca="false">IF(A183="","",E183+F183-G183)</f>
        <v/>
      </c>
      <c r="I183" s="6"/>
      <c r="J183" s="7" t="str">
        <f aca="false">IF(A183="","",IF(H183&lt;=I183,"Заказать","ОК"))</f>
        <v/>
      </c>
    </row>
    <row r="184" customFormat="false" ht="15" hidden="false" customHeight="false" outlineLevel="0" collapsed="false">
      <c r="A184" s="6"/>
      <c r="B184" s="6"/>
      <c r="C184" s="10"/>
      <c r="D184" s="10"/>
      <c r="E184" s="6"/>
      <c r="F184" s="7" t="str">
        <f aca="false">IF(A184="","",SUMIFS(Приход!$C$2:$C$1000,Приход!$B$2:$B$1000,A184))</f>
        <v/>
      </c>
      <c r="G184" s="7" t="str">
        <f aca="false">IF(A184="","",SUMIFS(Продажи!$F$2:$F$1000,Продажи!$D$2:$D$1000,A184))</f>
        <v/>
      </c>
      <c r="H184" s="7" t="str">
        <f aca="false">IF(A184="","",E184+F184-G184)</f>
        <v/>
      </c>
      <c r="I184" s="6"/>
      <c r="J184" s="7" t="str">
        <f aca="false">IF(A184="","",IF(H184&lt;=I184,"Заказать","ОК"))</f>
        <v/>
      </c>
    </row>
    <row r="185" customFormat="false" ht="15" hidden="false" customHeight="false" outlineLevel="0" collapsed="false">
      <c r="A185" s="6"/>
      <c r="B185" s="6"/>
      <c r="C185" s="10"/>
      <c r="D185" s="10"/>
      <c r="E185" s="6"/>
      <c r="F185" s="7" t="str">
        <f aca="false">IF(A185="","",SUMIFS(Приход!$C$2:$C$1000,Приход!$B$2:$B$1000,A185))</f>
        <v/>
      </c>
      <c r="G185" s="7" t="str">
        <f aca="false">IF(A185="","",SUMIFS(Продажи!$F$2:$F$1000,Продажи!$D$2:$D$1000,A185))</f>
        <v/>
      </c>
      <c r="H185" s="7" t="str">
        <f aca="false">IF(A185="","",E185+F185-G185)</f>
        <v/>
      </c>
      <c r="I185" s="6"/>
      <c r="J185" s="7" t="str">
        <f aca="false">IF(A185="","",IF(H185&lt;=I185,"Заказать","ОК"))</f>
        <v/>
      </c>
    </row>
    <row r="186" customFormat="false" ht="15" hidden="false" customHeight="false" outlineLevel="0" collapsed="false">
      <c r="A186" s="6"/>
      <c r="B186" s="6"/>
      <c r="C186" s="10"/>
      <c r="D186" s="10"/>
      <c r="E186" s="6"/>
      <c r="F186" s="7" t="str">
        <f aca="false">IF(A186="","",SUMIFS(Приход!$C$2:$C$1000,Приход!$B$2:$B$1000,A186))</f>
        <v/>
      </c>
      <c r="G186" s="7" t="str">
        <f aca="false">IF(A186="","",SUMIFS(Продажи!$F$2:$F$1000,Продажи!$D$2:$D$1000,A186))</f>
        <v/>
      </c>
      <c r="H186" s="7" t="str">
        <f aca="false">IF(A186="","",E186+F186-G186)</f>
        <v/>
      </c>
      <c r="I186" s="6"/>
      <c r="J186" s="7" t="str">
        <f aca="false">IF(A186="","",IF(H186&lt;=I186,"Заказать","ОК"))</f>
        <v/>
      </c>
    </row>
    <row r="187" customFormat="false" ht="15" hidden="false" customHeight="false" outlineLevel="0" collapsed="false">
      <c r="A187" s="6"/>
      <c r="B187" s="6"/>
      <c r="C187" s="10"/>
      <c r="D187" s="10"/>
      <c r="E187" s="6"/>
      <c r="F187" s="7" t="str">
        <f aca="false">IF(A187="","",SUMIFS(Приход!$C$2:$C$1000,Приход!$B$2:$B$1000,A187))</f>
        <v/>
      </c>
      <c r="G187" s="7" t="str">
        <f aca="false">IF(A187="","",SUMIFS(Продажи!$F$2:$F$1000,Продажи!$D$2:$D$1000,A187))</f>
        <v/>
      </c>
      <c r="H187" s="7" t="str">
        <f aca="false">IF(A187="","",E187+F187-G187)</f>
        <v/>
      </c>
      <c r="I187" s="6"/>
      <c r="J187" s="7" t="str">
        <f aca="false">IF(A187="","",IF(H187&lt;=I187,"Заказать","ОК"))</f>
        <v/>
      </c>
    </row>
    <row r="188" customFormat="false" ht="15" hidden="false" customHeight="false" outlineLevel="0" collapsed="false">
      <c r="A188" s="6"/>
      <c r="B188" s="6"/>
      <c r="C188" s="10"/>
      <c r="D188" s="10"/>
      <c r="E188" s="6"/>
      <c r="F188" s="7" t="str">
        <f aca="false">IF(A188="","",SUMIFS(Приход!$C$2:$C$1000,Приход!$B$2:$B$1000,A188))</f>
        <v/>
      </c>
      <c r="G188" s="7" t="str">
        <f aca="false">IF(A188="","",SUMIFS(Продажи!$F$2:$F$1000,Продажи!$D$2:$D$1000,A188))</f>
        <v/>
      </c>
      <c r="H188" s="7" t="str">
        <f aca="false">IF(A188="","",E188+F188-G188)</f>
        <v/>
      </c>
      <c r="I188" s="6"/>
      <c r="J188" s="7" t="str">
        <f aca="false">IF(A188="","",IF(H188&lt;=I188,"Заказать","ОК"))</f>
        <v/>
      </c>
    </row>
    <row r="189" customFormat="false" ht="15" hidden="false" customHeight="false" outlineLevel="0" collapsed="false">
      <c r="A189" s="6"/>
      <c r="B189" s="6"/>
      <c r="C189" s="10"/>
      <c r="D189" s="10"/>
      <c r="E189" s="6"/>
      <c r="F189" s="7" t="str">
        <f aca="false">IF(A189="","",SUMIFS(Приход!$C$2:$C$1000,Приход!$B$2:$B$1000,A189))</f>
        <v/>
      </c>
      <c r="G189" s="7" t="str">
        <f aca="false">IF(A189="","",SUMIFS(Продажи!$F$2:$F$1000,Продажи!$D$2:$D$1000,A189))</f>
        <v/>
      </c>
      <c r="H189" s="7" t="str">
        <f aca="false">IF(A189="","",E189+F189-G189)</f>
        <v/>
      </c>
      <c r="I189" s="6"/>
      <c r="J189" s="7" t="str">
        <f aca="false">IF(A189="","",IF(H189&lt;=I189,"Заказать","ОК"))</f>
        <v/>
      </c>
    </row>
    <row r="190" customFormat="false" ht="15" hidden="false" customHeight="false" outlineLevel="0" collapsed="false">
      <c r="A190" s="6"/>
      <c r="B190" s="6"/>
      <c r="C190" s="10"/>
      <c r="D190" s="10"/>
      <c r="E190" s="6"/>
      <c r="F190" s="7" t="str">
        <f aca="false">IF(A190="","",SUMIFS(Приход!$C$2:$C$1000,Приход!$B$2:$B$1000,A190))</f>
        <v/>
      </c>
      <c r="G190" s="7" t="str">
        <f aca="false">IF(A190="","",SUMIFS(Продажи!$F$2:$F$1000,Продажи!$D$2:$D$1000,A190))</f>
        <v/>
      </c>
      <c r="H190" s="7" t="str">
        <f aca="false">IF(A190="","",E190+F190-G190)</f>
        <v/>
      </c>
      <c r="I190" s="6"/>
      <c r="J190" s="7" t="str">
        <f aca="false">IF(A190="","",IF(H190&lt;=I190,"Заказать","ОК"))</f>
        <v/>
      </c>
    </row>
    <row r="191" customFormat="false" ht="15" hidden="false" customHeight="false" outlineLevel="0" collapsed="false">
      <c r="A191" s="6"/>
      <c r="B191" s="6"/>
      <c r="C191" s="10"/>
      <c r="D191" s="10"/>
      <c r="E191" s="6"/>
      <c r="F191" s="7" t="str">
        <f aca="false">IF(A191="","",SUMIFS(Приход!$C$2:$C$1000,Приход!$B$2:$B$1000,A191))</f>
        <v/>
      </c>
      <c r="G191" s="7" t="str">
        <f aca="false">IF(A191="","",SUMIFS(Продажи!$F$2:$F$1000,Продажи!$D$2:$D$1000,A191))</f>
        <v/>
      </c>
      <c r="H191" s="7" t="str">
        <f aca="false">IF(A191="","",E191+F191-G191)</f>
        <v/>
      </c>
      <c r="I191" s="6"/>
      <c r="J191" s="7" t="str">
        <f aca="false">IF(A191="","",IF(H191&lt;=I191,"Заказать","ОК"))</f>
        <v/>
      </c>
    </row>
    <row r="192" customFormat="false" ht="15" hidden="false" customHeight="false" outlineLevel="0" collapsed="false">
      <c r="A192" s="6"/>
      <c r="B192" s="6"/>
      <c r="C192" s="10"/>
      <c r="D192" s="10"/>
      <c r="E192" s="6"/>
      <c r="F192" s="7" t="str">
        <f aca="false">IF(A192="","",SUMIFS(Приход!$C$2:$C$1000,Приход!$B$2:$B$1000,A192))</f>
        <v/>
      </c>
      <c r="G192" s="7" t="str">
        <f aca="false">IF(A192="","",SUMIFS(Продажи!$F$2:$F$1000,Продажи!$D$2:$D$1000,A192))</f>
        <v/>
      </c>
      <c r="H192" s="7" t="str">
        <f aca="false">IF(A192="","",E192+F192-G192)</f>
        <v/>
      </c>
      <c r="I192" s="6"/>
      <c r="J192" s="7" t="str">
        <f aca="false">IF(A192="","",IF(H192&lt;=I192,"Заказать","ОК"))</f>
        <v/>
      </c>
    </row>
    <row r="193" customFormat="false" ht="15" hidden="false" customHeight="false" outlineLevel="0" collapsed="false">
      <c r="A193" s="6"/>
      <c r="B193" s="6"/>
      <c r="C193" s="10"/>
      <c r="D193" s="10"/>
      <c r="E193" s="6"/>
      <c r="F193" s="7" t="str">
        <f aca="false">IF(A193="","",SUMIFS(Приход!$C$2:$C$1000,Приход!$B$2:$B$1000,A193))</f>
        <v/>
      </c>
      <c r="G193" s="7" t="str">
        <f aca="false">IF(A193="","",SUMIFS(Продажи!$F$2:$F$1000,Продажи!$D$2:$D$1000,A193))</f>
        <v/>
      </c>
      <c r="H193" s="7" t="str">
        <f aca="false">IF(A193="","",E193+F193-G193)</f>
        <v/>
      </c>
      <c r="I193" s="6"/>
      <c r="J193" s="7" t="str">
        <f aca="false">IF(A193="","",IF(H193&lt;=I193,"Заказать","ОК"))</f>
        <v/>
      </c>
    </row>
    <row r="194" customFormat="false" ht="15" hidden="false" customHeight="false" outlineLevel="0" collapsed="false">
      <c r="A194" s="6"/>
      <c r="B194" s="6"/>
      <c r="C194" s="10"/>
      <c r="D194" s="10"/>
      <c r="E194" s="6"/>
      <c r="F194" s="7" t="str">
        <f aca="false">IF(A194="","",SUMIFS(Приход!$C$2:$C$1000,Приход!$B$2:$B$1000,A194))</f>
        <v/>
      </c>
      <c r="G194" s="7" t="str">
        <f aca="false">IF(A194="","",SUMIFS(Продажи!$F$2:$F$1000,Продажи!$D$2:$D$1000,A194))</f>
        <v/>
      </c>
      <c r="H194" s="7" t="str">
        <f aca="false">IF(A194="","",E194+F194-G194)</f>
        <v/>
      </c>
      <c r="I194" s="6"/>
      <c r="J194" s="7" t="str">
        <f aca="false">IF(A194="","",IF(H194&lt;=I194,"Заказать","ОК"))</f>
        <v/>
      </c>
    </row>
    <row r="195" customFormat="false" ht="15" hidden="false" customHeight="false" outlineLevel="0" collapsed="false">
      <c r="A195" s="6"/>
      <c r="B195" s="6"/>
      <c r="C195" s="10"/>
      <c r="D195" s="10"/>
      <c r="E195" s="6"/>
      <c r="F195" s="7" t="str">
        <f aca="false">IF(A195="","",SUMIFS(Приход!$C$2:$C$1000,Приход!$B$2:$B$1000,A195))</f>
        <v/>
      </c>
      <c r="G195" s="7" t="str">
        <f aca="false">IF(A195="","",SUMIFS(Продажи!$F$2:$F$1000,Продажи!$D$2:$D$1000,A195))</f>
        <v/>
      </c>
      <c r="H195" s="7" t="str">
        <f aca="false">IF(A195="","",E195+F195-G195)</f>
        <v/>
      </c>
      <c r="I195" s="6"/>
      <c r="J195" s="7" t="str">
        <f aca="false">IF(A195="","",IF(H195&lt;=I195,"Заказать","ОК"))</f>
        <v/>
      </c>
    </row>
    <row r="196" customFormat="false" ht="15" hidden="false" customHeight="false" outlineLevel="0" collapsed="false">
      <c r="A196" s="6"/>
      <c r="B196" s="6"/>
      <c r="C196" s="10"/>
      <c r="D196" s="10"/>
      <c r="E196" s="6"/>
      <c r="F196" s="7" t="str">
        <f aca="false">IF(A196="","",SUMIFS(Приход!$C$2:$C$1000,Приход!$B$2:$B$1000,A196))</f>
        <v/>
      </c>
      <c r="G196" s="7" t="str">
        <f aca="false">IF(A196="","",SUMIFS(Продажи!$F$2:$F$1000,Продажи!$D$2:$D$1000,A196))</f>
        <v/>
      </c>
      <c r="H196" s="7" t="str">
        <f aca="false">IF(A196="","",E196+F196-G196)</f>
        <v/>
      </c>
      <c r="I196" s="6"/>
      <c r="J196" s="7" t="str">
        <f aca="false">IF(A196="","",IF(H196&lt;=I196,"Заказать","ОК"))</f>
        <v/>
      </c>
    </row>
    <row r="197" customFormat="false" ht="15" hidden="false" customHeight="false" outlineLevel="0" collapsed="false">
      <c r="A197" s="6"/>
      <c r="B197" s="6"/>
      <c r="C197" s="10"/>
      <c r="D197" s="10"/>
      <c r="E197" s="6"/>
      <c r="F197" s="7" t="str">
        <f aca="false">IF(A197="","",SUMIFS(Приход!$C$2:$C$1000,Приход!$B$2:$B$1000,A197))</f>
        <v/>
      </c>
      <c r="G197" s="7" t="str">
        <f aca="false">IF(A197="","",SUMIFS(Продажи!$F$2:$F$1000,Продажи!$D$2:$D$1000,A197))</f>
        <v/>
      </c>
      <c r="H197" s="7" t="str">
        <f aca="false">IF(A197="","",E197+F197-G197)</f>
        <v/>
      </c>
      <c r="I197" s="6"/>
      <c r="J197" s="7" t="str">
        <f aca="false">IF(A197="","",IF(H197&lt;=I197,"Заказать","ОК"))</f>
        <v/>
      </c>
    </row>
    <row r="198" customFormat="false" ht="15" hidden="false" customHeight="false" outlineLevel="0" collapsed="false">
      <c r="A198" s="6"/>
      <c r="B198" s="6"/>
      <c r="C198" s="10"/>
      <c r="D198" s="10"/>
      <c r="E198" s="6"/>
      <c r="F198" s="7" t="str">
        <f aca="false">IF(A198="","",SUMIFS(Приход!$C$2:$C$1000,Приход!$B$2:$B$1000,A198))</f>
        <v/>
      </c>
      <c r="G198" s="7" t="str">
        <f aca="false">IF(A198="","",SUMIFS(Продажи!$F$2:$F$1000,Продажи!$D$2:$D$1000,A198))</f>
        <v/>
      </c>
      <c r="H198" s="7" t="str">
        <f aca="false">IF(A198="","",E198+F198-G198)</f>
        <v/>
      </c>
      <c r="I198" s="6"/>
      <c r="J198" s="7" t="str">
        <f aca="false">IF(A198="","",IF(H198&lt;=I198,"Заказать","ОК"))</f>
        <v/>
      </c>
    </row>
    <row r="199" customFormat="false" ht="15" hidden="false" customHeight="false" outlineLevel="0" collapsed="false">
      <c r="A199" s="6"/>
      <c r="B199" s="6"/>
      <c r="C199" s="10"/>
      <c r="D199" s="10"/>
      <c r="E199" s="6"/>
      <c r="F199" s="7" t="str">
        <f aca="false">IF(A199="","",SUMIFS(Приход!$C$2:$C$1000,Приход!$B$2:$B$1000,A199))</f>
        <v/>
      </c>
      <c r="G199" s="7" t="str">
        <f aca="false">IF(A199="","",SUMIFS(Продажи!$F$2:$F$1000,Продажи!$D$2:$D$1000,A199))</f>
        <v/>
      </c>
      <c r="H199" s="7" t="str">
        <f aca="false">IF(A199="","",E199+F199-G199)</f>
        <v/>
      </c>
      <c r="I199" s="6"/>
      <c r="J199" s="7" t="str">
        <f aca="false">IF(A199="","",IF(H199&lt;=I199,"Заказать","ОК"))</f>
        <v/>
      </c>
    </row>
    <row r="200" customFormat="false" ht="15" hidden="false" customHeight="false" outlineLevel="0" collapsed="false">
      <c r="A200" s="6"/>
      <c r="B200" s="6"/>
      <c r="C200" s="10"/>
      <c r="D200" s="10"/>
      <c r="E200" s="6"/>
      <c r="F200" s="7" t="str">
        <f aca="false">IF(A200="","",SUMIFS(Приход!$C$2:$C$1000,Приход!$B$2:$B$1000,A200))</f>
        <v/>
      </c>
      <c r="G200" s="7" t="str">
        <f aca="false">IF(A200="","",SUMIFS(Продажи!$F$2:$F$1000,Продажи!$D$2:$D$1000,A200))</f>
        <v/>
      </c>
      <c r="H200" s="7" t="str">
        <f aca="false">IF(A200="","",E200+F200-G200)</f>
        <v/>
      </c>
      <c r="I200" s="6"/>
      <c r="J200" s="7" t="str">
        <f aca="false">IF(A200="","",IF(H200&lt;=I200,"Заказать","ОК"))</f>
        <v/>
      </c>
    </row>
  </sheetData>
  <conditionalFormatting sqref="J2:J200">
    <cfRule type="expression" priority="2" aboveAverage="0" equalAverage="0" bottom="0" percent="0" rank="0" text="" dxfId="6">
      <formula>$J2="Заказать"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10"/>
    <col collapsed="false" customWidth="true" hidden="false" outlineLevel="0" max="4" min="4" style="0" width="36"/>
  </cols>
  <sheetData>
    <row r="1" customFormat="false" ht="30" hidden="false" customHeight="true" outlineLevel="0" collapsed="false">
      <c r="A1" s="4" t="s">
        <v>21</v>
      </c>
      <c r="B1" s="4" t="s">
        <v>24</v>
      </c>
      <c r="C1" s="4" t="s">
        <v>26</v>
      </c>
      <c r="D1" s="4" t="s">
        <v>53</v>
      </c>
    </row>
    <row r="2" customFormat="false" ht="15" hidden="false" customHeight="false" outlineLevel="0" collapsed="false">
      <c r="A2" s="5" t="n">
        <v>46027</v>
      </c>
      <c r="B2" s="6" t="s">
        <v>35</v>
      </c>
      <c r="C2" s="6" t="n">
        <v>20</v>
      </c>
      <c r="D2" s="6" t="s">
        <v>54</v>
      </c>
    </row>
    <row r="3" customFormat="false" ht="15" hidden="false" customHeight="false" outlineLevel="0" collapsed="false">
      <c r="A3" s="5" t="n">
        <v>46082</v>
      </c>
      <c r="B3" s="6" t="s">
        <v>40</v>
      </c>
      <c r="C3" s="6" t="n">
        <v>10</v>
      </c>
      <c r="D3" s="6" t="s">
        <v>55</v>
      </c>
    </row>
    <row r="4" customFormat="false" ht="15" hidden="false" customHeight="false" outlineLevel="0" collapsed="false">
      <c r="A4" s="5" t="n">
        <v>46157</v>
      </c>
      <c r="B4" s="6" t="s">
        <v>38</v>
      </c>
      <c r="C4" s="6" t="n">
        <v>60</v>
      </c>
      <c r="D4" s="6" t="s">
        <v>54</v>
      </c>
    </row>
    <row r="5" customFormat="false" ht="15" hidden="false" customHeight="false" outlineLevel="0" collapsed="false">
      <c r="A5" s="5"/>
      <c r="B5" s="6"/>
      <c r="C5" s="6"/>
      <c r="D5" s="6"/>
    </row>
    <row r="6" customFormat="false" ht="15" hidden="false" customHeight="false" outlineLevel="0" collapsed="false">
      <c r="A6" s="5"/>
      <c r="B6" s="6"/>
      <c r="C6" s="6"/>
      <c r="D6" s="6"/>
    </row>
    <row r="7" customFormat="false" ht="15" hidden="false" customHeight="false" outlineLevel="0" collapsed="false">
      <c r="A7" s="5"/>
      <c r="B7" s="6"/>
      <c r="C7" s="6"/>
      <c r="D7" s="6"/>
    </row>
    <row r="8" customFormat="false" ht="15" hidden="false" customHeight="false" outlineLevel="0" collapsed="false">
      <c r="A8" s="5"/>
      <c r="B8" s="6"/>
      <c r="C8" s="6"/>
      <c r="D8" s="6"/>
    </row>
    <row r="9" customFormat="false" ht="15" hidden="false" customHeight="false" outlineLevel="0" collapsed="false">
      <c r="A9" s="5"/>
      <c r="B9" s="6"/>
      <c r="C9" s="6"/>
      <c r="D9" s="6"/>
    </row>
    <row r="10" customFormat="false" ht="15" hidden="false" customHeight="false" outlineLevel="0" collapsed="false">
      <c r="A10" s="5"/>
      <c r="B10" s="6"/>
      <c r="C10" s="6"/>
      <c r="D10" s="6"/>
    </row>
    <row r="11" customFormat="false" ht="15" hidden="false" customHeight="false" outlineLevel="0" collapsed="false">
      <c r="A11" s="5"/>
      <c r="B11" s="6"/>
      <c r="C11" s="6"/>
      <c r="D11" s="6"/>
    </row>
    <row r="12" customFormat="false" ht="15" hidden="false" customHeight="false" outlineLevel="0" collapsed="false">
      <c r="A12" s="5"/>
      <c r="B12" s="6"/>
      <c r="C12" s="6"/>
      <c r="D12" s="6"/>
    </row>
    <row r="13" customFormat="false" ht="15" hidden="false" customHeight="false" outlineLevel="0" collapsed="false">
      <c r="A13" s="5"/>
      <c r="B13" s="6"/>
      <c r="C13" s="6"/>
      <c r="D13" s="6"/>
    </row>
    <row r="14" customFormat="false" ht="15" hidden="false" customHeight="false" outlineLevel="0" collapsed="false">
      <c r="A14" s="5"/>
      <c r="B14" s="6"/>
      <c r="C14" s="6"/>
      <c r="D14" s="6"/>
    </row>
    <row r="15" customFormat="false" ht="15" hidden="false" customHeight="false" outlineLevel="0" collapsed="false">
      <c r="A15" s="5"/>
      <c r="B15" s="6"/>
      <c r="C15" s="6"/>
      <c r="D15" s="6"/>
    </row>
    <row r="16" customFormat="false" ht="15" hidden="false" customHeight="false" outlineLevel="0" collapsed="false">
      <c r="A16" s="5"/>
      <c r="B16" s="6"/>
      <c r="C16" s="6"/>
      <c r="D16" s="6"/>
    </row>
    <row r="17" customFormat="false" ht="15" hidden="false" customHeight="false" outlineLevel="0" collapsed="false">
      <c r="A17" s="5"/>
      <c r="B17" s="6"/>
      <c r="C17" s="6"/>
      <c r="D17" s="6"/>
    </row>
    <row r="18" customFormat="false" ht="15" hidden="false" customHeight="false" outlineLevel="0" collapsed="false">
      <c r="A18" s="5"/>
      <c r="B18" s="6"/>
      <c r="C18" s="6"/>
      <c r="D18" s="6"/>
    </row>
    <row r="19" customFormat="false" ht="15" hidden="false" customHeight="false" outlineLevel="0" collapsed="false">
      <c r="A19" s="5"/>
      <c r="B19" s="6"/>
      <c r="C19" s="6"/>
      <c r="D19" s="6"/>
    </row>
    <row r="20" customFormat="false" ht="15" hidden="false" customHeight="false" outlineLevel="0" collapsed="false">
      <c r="A20" s="5"/>
      <c r="B20" s="6"/>
      <c r="C20" s="6"/>
      <c r="D20" s="6"/>
    </row>
    <row r="21" customFormat="false" ht="15" hidden="false" customHeight="false" outlineLevel="0" collapsed="false">
      <c r="A21" s="5"/>
      <c r="B21" s="6"/>
      <c r="C21" s="6"/>
      <c r="D21" s="6"/>
    </row>
    <row r="22" customFormat="false" ht="15" hidden="false" customHeight="false" outlineLevel="0" collapsed="false">
      <c r="A22" s="5"/>
      <c r="B22" s="6"/>
      <c r="C22" s="6"/>
      <c r="D22" s="6"/>
    </row>
    <row r="23" customFormat="false" ht="15" hidden="false" customHeight="false" outlineLevel="0" collapsed="false">
      <c r="A23" s="5"/>
      <c r="B23" s="6"/>
      <c r="C23" s="6"/>
      <c r="D23" s="6"/>
    </row>
    <row r="24" customFormat="false" ht="15" hidden="false" customHeight="false" outlineLevel="0" collapsed="false">
      <c r="A24" s="5"/>
      <c r="B24" s="6"/>
      <c r="C24" s="6"/>
      <c r="D24" s="6"/>
    </row>
    <row r="25" customFormat="false" ht="15" hidden="false" customHeight="false" outlineLevel="0" collapsed="false">
      <c r="A25" s="5"/>
      <c r="B25" s="6"/>
      <c r="C25" s="6"/>
      <c r="D25" s="6"/>
    </row>
    <row r="26" customFormat="false" ht="15" hidden="false" customHeight="false" outlineLevel="0" collapsed="false">
      <c r="A26" s="5"/>
      <c r="B26" s="6"/>
      <c r="C26" s="6"/>
      <c r="D26" s="6"/>
    </row>
    <row r="27" customFormat="false" ht="15" hidden="false" customHeight="false" outlineLevel="0" collapsed="false">
      <c r="A27" s="5"/>
      <c r="B27" s="6"/>
      <c r="C27" s="6"/>
      <c r="D27" s="6"/>
    </row>
    <row r="28" customFormat="false" ht="15" hidden="false" customHeight="false" outlineLevel="0" collapsed="false">
      <c r="A28" s="5"/>
      <c r="B28" s="6"/>
      <c r="C28" s="6"/>
      <c r="D28" s="6"/>
    </row>
    <row r="29" customFormat="false" ht="15" hidden="false" customHeight="false" outlineLevel="0" collapsed="false">
      <c r="A29" s="5"/>
      <c r="B29" s="6"/>
      <c r="C29" s="6"/>
      <c r="D29" s="6"/>
    </row>
    <row r="30" customFormat="false" ht="15" hidden="false" customHeight="false" outlineLevel="0" collapsed="false">
      <c r="A30" s="5"/>
      <c r="B30" s="6"/>
      <c r="C30" s="6"/>
      <c r="D30" s="6"/>
    </row>
    <row r="31" customFormat="false" ht="15" hidden="false" customHeight="false" outlineLevel="0" collapsed="false">
      <c r="A31" s="5"/>
      <c r="B31" s="6"/>
      <c r="C31" s="6"/>
      <c r="D31" s="6"/>
    </row>
    <row r="32" customFormat="false" ht="15" hidden="false" customHeight="false" outlineLevel="0" collapsed="false">
      <c r="A32" s="5"/>
      <c r="B32" s="6"/>
      <c r="C32" s="6"/>
      <c r="D32" s="6"/>
    </row>
    <row r="33" customFormat="false" ht="15" hidden="false" customHeight="false" outlineLevel="0" collapsed="false">
      <c r="A33" s="5"/>
      <c r="B33" s="6"/>
      <c r="C33" s="6"/>
      <c r="D33" s="6"/>
    </row>
    <row r="34" customFormat="false" ht="15" hidden="false" customHeight="false" outlineLevel="0" collapsed="false">
      <c r="A34" s="5"/>
      <c r="B34" s="6"/>
      <c r="C34" s="6"/>
      <c r="D34" s="6"/>
    </row>
    <row r="35" customFormat="false" ht="15" hidden="false" customHeight="false" outlineLevel="0" collapsed="false">
      <c r="A35" s="5"/>
      <c r="B35" s="6"/>
      <c r="C35" s="6"/>
      <c r="D35" s="6"/>
    </row>
    <row r="36" customFormat="false" ht="15" hidden="false" customHeight="false" outlineLevel="0" collapsed="false">
      <c r="A36" s="5"/>
      <c r="B36" s="6"/>
      <c r="C36" s="6"/>
      <c r="D36" s="6"/>
    </row>
    <row r="37" customFormat="false" ht="15" hidden="false" customHeight="false" outlineLevel="0" collapsed="false">
      <c r="A37" s="5"/>
      <c r="B37" s="6"/>
      <c r="C37" s="6"/>
      <c r="D37" s="6"/>
    </row>
    <row r="38" customFormat="false" ht="15" hidden="false" customHeight="false" outlineLevel="0" collapsed="false">
      <c r="A38" s="5"/>
      <c r="B38" s="6"/>
      <c r="C38" s="6"/>
      <c r="D38" s="6"/>
    </row>
    <row r="39" customFormat="false" ht="15" hidden="false" customHeight="false" outlineLevel="0" collapsed="false">
      <c r="A39" s="5"/>
      <c r="B39" s="6"/>
      <c r="C39" s="6"/>
      <c r="D39" s="6"/>
    </row>
    <row r="40" customFormat="false" ht="15" hidden="false" customHeight="false" outlineLevel="0" collapsed="false">
      <c r="A40" s="5"/>
      <c r="B40" s="6"/>
      <c r="C40" s="6"/>
      <c r="D40" s="6"/>
    </row>
    <row r="41" customFormat="false" ht="15" hidden="false" customHeight="false" outlineLevel="0" collapsed="false">
      <c r="A41" s="5"/>
      <c r="B41" s="6"/>
      <c r="C41" s="6"/>
      <c r="D41" s="6"/>
    </row>
    <row r="42" customFormat="false" ht="15" hidden="false" customHeight="false" outlineLevel="0" collapsed="false">
      <c r="A42" s="5"/>
      <c r="B42" s="6"/>
      <c r="C42" s="6"/>
      <c r="D42" s="6"/>
    </row>
    <row r="43" customFormat="false" ht="15" hidden="false" customHeight="false" outlineLevel="0" collapsed="false">
      <c r="A43" s="5"/>
      <c r="B43" s="6"/>
      <c r="C43" s="6"/>
      <c r="D43" s="6"/>
    </row>
    <row r="44" customFormat="false" ht="15" hidden="false" customHeight="false" outlineLevel="0" collapsed="false">
      <c r="A44" s="5"/>
      <c r="B44" s="6"/>
      <c r="C44" s="6"/>
      <c r="D44" s="6"/>
    </row>
    <row r="45" customFormat="false" ht="15" hidden="false" customHeight="false" outlineLevel="0" collapsed="false">
      <c r="A45" s="5"/>
      <c r="B45" s="6"/>
      <c r="C45" s="6"/>
      <c r="D45" s="6"/>
    </row>
    <row r="46" customFormat="false" ht="15" hidden="false" customHeight="false" outlineLevel="0" collapsed="false">
      <c r="A46" s="5"/>
      <c r="B46" s="6"/>
      <c r="C46" s="6"/>
      <c r="D46" s="6"/>
    </row>
    <row r="47" customFormat="false" ht="15" hidden="false" customHeight="false" outlineLevel="0" collapsed="false">
      <c r="A47" s="5"/>
      <c r="B47" s="6"/>
      <c r="C47" s="6"/>
      <c r="D47" s="6"/>
    </row>
    <row r="48" customFormat="false" ht="15" hidden="false" customHeight="false" outlineLevel="0" collapsed="false">
      <c r="A48" s="5"/>
      <c r="B48" s="6"/>
      <c r="C48" s="6"/>
      <c r="D48" s="6"/>
    </row>
    <row r="49" customFormat="false" ht="15" hidden="false" customHeight="false" outlineLevel="0" collapsed="false">
      <c r="A49" s="5"/>
      <c r="B49" s="6"/>
      <c r="C49" s="6"/>
      <c r="D49" s="6"/>
    </row>
    <row r="50" customFormat="false" ht="15" hidden="false" customHeight="false" outlineLevel="0" collapsed="false">
      <c r="A50" s="5"/>
      <c r="B50" s="6"/>
      <c r="C50" s="6"/>
      <c r="D50" s="6"/>
    </row>
    <row r="51" customFormat="false" ht="15" hidden="false" customHeight="false" outlineLevel="0" collapsed="false">
      <c r="A51" s="5"/>
      <c r="B51" s="6"/>
      <c r="C51" s="6"/>
      <c r="D51" s="6"/>
    </row>
    <row r="52" customFormat="false" ht="15" hidden="false" customHeight="false" outlineLevel="0" collapsed="false">
      <c r="A52" s="5"/>
      <c r="B52" s="6"/>
      <c r="C52" s="6"/>
      <c r="D52" s="6"/>
    </row>
    <row r="53" customFormat="false" ht="15" hidden="false" customHeight="false" outlineLevel="0" collapsed="false">
      <c r="A53" s="5"/>
      <c r="B53" s="6"/>
      <c r="C53" s="6"/>
      <c r="D53" s="6"/>
    </row>
    <row r="54" customFormat="false" ht="15" hidden="false" customHeight="false" outlineLevel="0" collapsed="false">
      <c r="A54" s="5"/>
      <c r="B54" s="6"/>
      <c r="C54" s="6"/>
      <c r="D54" s="6"/>
    </row>
    <row r="55" customFormat="false" ht="15" hidden="false" customHeight="false" outlineLevel="0" collapsed="false">
      <c r="A55" s="5"/>
      <c r="B55" s="6"/>
      <c r="C55" s="6"/>
      <c r="D55" s="6"/>
    </row>
    <row r="56" customFormat="false" ht="15" hidden="false" customHeight="false" outlineLevel="0" collapsed="false">
      <c r="A56" s="5"/>
      <c r="B56" s="6"/>
      <c r="C56" s="6"/>
      <c r="D56" s="6"/>
    </row>
    <row r="57" customFormat="false" ht="15" hidden="false" customHeight="false" outlineLevel="0" collapsed="false">
      <c r="A57" s="5"/>
      <c r="B57" s="6"/>
      <c r="C57" s="6"/>
      <c r="D57" s="6"/>
    </row>
    <row r="58" customFormat="false" ht="15" hidden="false" customHeight="false" outlineLevel="0" collapsed="false">
      <c r="A58" s="5"/>
      <c r="B58" s="6"/>
      <c r="C58" s="6"/>
      <c r="D58" s="6"/>
    </row>
    <row r="59" customFormat="false" ht="15" hidden="false" customHeight="false" outlineLevel="0" collapsed="false">
      <c r="A59" s="5"/>
      <c r="B59" s="6"/>
      <c r="C59" s="6"/>
      <c r="D59" s="6"/>
    </row>
    <row r="60" customFormat="false" ht="15" hidden="false" customHeight="false" outlineLevel="0" collapsed="false">
      <c r="A60" s="5"/>
      <c r="B60" s="6"/>
      <c r="C60" s="6"/>
      <c r="D60" s="6"/>
    </row>
    <row r="61" customFormat="false" ht="15" hidden="false" customHeight="false" outlineLevel="0" collapsed="false">
      <c r="A61" s="5"/>
      <c r="B61" s="6"/>
      <c r="C61" s="6"/>
      <c r="D61" s="6"/>
    </row>
    <row r="62" customFormat="false" ht="15" hidden="false" customHeight="false" outlineLevel="0" collapsed="false">
      <c r="A62" s="5"/>
      <c r="B62" s="6"/>
      <c r="C62" s="6"/>
      <c r="D62" s="6"/>
    </row>
    <row r="63" customFormat="false" ht="15" hidden="false" customHeight="false" outlineLevel="0" collapsed="false">
      <c r="A63" s="5"/>
      <c r="B63" s="6"/>
      <c r="C63" s="6"/>
      <c r="D63" s="6"/>
    </row>
    <row r="64" customFormat="false" ht="15" hidden="false" customHeight="false" outlineLevel="0" collapsed="false">
      <c r="A64" s="5"/>
      <c r="B64" s="6"/>
      <c r="C64" s="6"/>
      <c r="D64" s="6"/>
    </row>
    <row r="65" customFormat="false" ht="15" hidden="false" customHeight="false" outlineLevel="0" collapsed="false">
      <c r="A65" s="5"/>
      <c r="B65" s="6"/>
      <c r="C65" s="6"/>
      <c r="D65" s="6"/>
    </row>
    <row r="66" customFormat="false" ht="15" hidden="false" customHeight="false" outlineLevel="0" collapsed="false">
      <c r="A66" s="5"/>
      <c r="B66" s="6"/>
      <c r="C66" s="6"/>
      <c r="D66" s="6"/>
    </row>
    <row r="67" customFormat="false" ht="15" hidden="false" customHeight="false" outlineLevel="0" collapsed="false">
      <c r="A67" s="5"/>
      <c r="B67" s="6"/>
      <c r="C67" s="6"/>
      <c r="D67" s="6"/>
    </row>
    <row r="68" customFormat="false" ht="15" hidden="false" customHeight="false" outlineLevel="0" collapsed="false">
      <c r="A68" s="5"/>
      <c r="B68" s="6"/>
      <c r="C68" s="6"/>
      <c r="D68" s="6"/>
    </row>
    <row r="69" customFormat="false" ht="15" hidden="false" customHeight="false" outlineLevel="0" collapsed="false">
      <c r="A69" s="5"/>
      <c r="B69" s="6"/>
      <c r="C69" s="6"/>
      <c r="D69" s="6"/>
    </row>
    <row r="70" customFormat="false" ht="15" hidden="false" customHeight="false" outlineLevel="0" collapsed="false">
      <c r="A70" s="5"/>
      <c r="B70" s="6"/>
      <c r="C70" s="6"/>
      <c r="D70" s="6"/>
    </row>
    <row r="71" customFormat="false" ht="15" hidden="false" customHeight="false" outlineLevel="0" collapsed="false">
      <c r="A71" s="5"/>
      <c r="B71" s="6"/>
      <c r="C71" s="6"/>
      <c r="D71" s="6"/>
    </row>
    <row r="72" customFormat="false" ht="15" hidden="false" customHeight="false" outlineLevel="0" collapsed="false">
      <c r="A72" s="5"/>
      <c r="B72" s="6"/>
      <c r="C72" s="6"/>
      <c r="D72" s="6"/>
    </row>
    <row r="73" customFormat="false" ht="15" hidden="false" customHeight="false" outlineLevel="0" collapsed="false">
      <c r="A73" s="5"/>
      <c r="B73" s="6"/>
      <c r="C73" s="6"/>
      <c r="D73" s="6"/>
    </row>
    <row r="74" customFormat="false" ht="15" hidden="false" customHeight="false" outlineLevel="0" collapsed="false">
      <c r="A74" s="5"/>
      <c r="B74" s="6"/>
      <c r="C74" s="6"/>
      <c r="D74" s="6"/>
    </row>
    <row r="75" customFormat="false" ht="15" hidden="false" customHeight="false" outlineLevel="0" collapsed="false">
      <c r="A75" s="5"/>
      <c r="B75" s="6"/>
      <c r="C75" s="6"/>
      <c r="D75" s="6"/>
    </row>
    <row r="76" customFormat="false" ht="15" hidden="false" customHeight="false" outlineLevel="0" collapsed="false">
      <c r="A76" s="5"/>
      <c r="B76" s="6"/>
      <c r="C76" s="6"/>
      <c r="D76" s="6"/>
    </row>
    <row r="77" customFormat="false" ht="15" hidden="false" customHeight="false" outlineLevel="0" collapsed="false">
      <c r="A77" s="5"/>
      <c r="B77" s="6"/>
      <c r="C77" s="6"/>
      <c r="D77" s="6"/>
    </row>
    <row r="78" customFormat="false" ht="15" hidden="false" customHeight="false" outlineLevel="0" collapsed="false">
      <c r="A78" s="5"/>
      <c r="B78" s="6"/>
      <c r="C78" s="6"/>
      <c r="D78" s="6"/>
    </row>
    <row r="79" customFormat="false" ht="15" hidden="false" customHeight="false" outlineLevel="0" collapsed="false">
      <c r="A79" s="5"/>
      <c r="B79" s="6"/>
      <c r="C79" s="6"/>
      <c r="D79" s="6"/>
    </row>
    <row r="80" customFormat="false" ht="15" hidden="false" customHeight="false" outlineLevel="0" collapsed="false">
      <c r="A80" s="5"/>
      <c r="B80" s="6"/>
      <c r="C80" s="6"/>
      <c r="D80" s="6"/>
    </row>
    <row r="81" customFormat="false" ht="15" hidden="false" customHeight="false" outlineLevel="0" collapsed="false">
      <c r="A81" s="5"/>
      <c r="B81" s="6"/>
      <c r="C81" s="6"/>
      <c r="D81" s="6"/>
    </row>
    <row r="82" customFormat="false" ht="15" hidden="false" customHeight="false" outlineLevel="0" collapsed="false">
      <c r="A82" s="5"/>
      <c r="B82" s="6"/>
      <c r="C82" s="6"/>
      <c r="D82" s="6"/>
    </row>
    <row r="83" customFormat="false" ht="15" hidden="false" customHeight="false" outlineLevel="0" collapsed="false">
      <c r="A83" s="5"/>
      <c r="B83" s="6"/>
      <c r="C83" s="6"/>
      <c r="D83" s="6"/>
    </row>
    <row r="84" customFormat="false" ht="15" hidden="false" customHeight="false" outlineLevel="0" collapsed="false">
      <c r="A84" s="5"/>
      <c r="B84" s="6"/>
      <c r="C84" s="6"/>
      <c r="D84" s="6"/>
    </row>
    <row r="85" customFormat="false" ht="15" hidden="false" customHeight="false" outlineLevel="0" collapsed="false">
      <c r="A85" s="5"/>
      <c r="B85" s="6"/>
      <c r="C85" s="6"/>
      <c r="D85" s="6"/>
    </row>
    <row r="86" customFormat="false" ht="15" hidden="false" customHeight="false" outlineLevel="0" collapsed="false">
      <c r="A86" s="5"/>
      <c r="B86" s="6"/>
      <c r="C86" s="6"/>
      <c r="D86" s="6"/>
    </row>
    <row r="87" customFormat="false" ht="15" hidden="false" customHeight="false" outlineLevel="0" collapsed="false">
      <c r="A87" s="5"/>
      <c r="B87" s="6"/>
      <c r="C87" s="6"/>
      <c r="D87" s="6"/>
    </row>
    <row r="88" customFormat="false" ht="15" hidden="false" customHeight="false" outlineLevel="0" collapsed="false">
      <c r="A88" s="5"/>
      <c r="B88" s="6"/>
      <c r="C88" s="6"/>
      <c r="D88" s="6"/>
    </row>
    <row r="89" customFormat="false" ht="15" hidden="false" customHeight="false" outlineLevel="0" collapsed="false">
      <c r="A89" s="5"/>
      <c r="B89" s="6"/>
      <c r="C89" s="6"/>
      <c r="D89" s="6"/>
    </row>
    <row r="90" customFormat="false" ht="15" hidden="false" customHeight="false" outlineLevel="0" collapsed="false">
      <c r="A90" s="5"/>
      <c r="B90" s="6"/>
      <c r="C90" s="6"/>
      <c r="D90" s="6"/>
    </row>
    <row r="91" customFormat="false" ht="15" hidden="false" customHeight="false" outlineLevel="0" collapsed="false">
      <c r="A91" s="5"/>
      <c r="B91" s="6"/>
      <c r="C91" s="6"/>
      <c r="D91" s="6"/>
    </row>
    <row r="92" customFormat="false" ht="15" hidden="false" customHeight="false" outlineLevel="0" collapsed="false">
      <c r="A92" s="5"/>
      <c r="B92" s="6"/>
      <c r="C92" s="6"/>
      <c r="D92" s="6"/>
    </row>
    <row r="93" customFormat="false" ht="15" hidden="false" customHeight="false" outlineLevel="0" collapsed="false">
      <c r="A93" s="5"/>
      <c r="B93" s="6"/>
      <c r="C93" s="6"/>
      <c r="D93" s="6"/>
    </row>
    <row r="94" customFormat="false" ht="15" hidden="false" customHeight="false" outlineLevel="0" collapsed="false">
      <c r="A94" s="5"/>
      <c r="B94" s="6"/>
      <c r="C94" s="6"/>
      <c r="D94" s="6"/>
    </row>
    <row r="95" customFormat="false" ht="15" hidden="false" customHeight="false" outlineLevel="0" collapsed="false">
      <c r="A95" s="5"/>
      <c r="B95" s="6"/>
      <c r="C95" s="6"/>
      <c r="D95" s="6"/>
    </row>
    <row r="96" customFormat="false" ht="15" hidden="false" customHeight="false" outlineLevel="0" collapsed="false">
      <c r="A96" s="5"/>
      <c r="B96" s="6"/>
      <c r="C96" s="6"/>
      <c r="D96" s="6"/>
    </row>
    <row r="97" customFormat="false" ht="15" hidden="false" customHeight="false" outlineLevel="0" collapsed="false">
      <c r="A97" s="5"/>
      <c r="B97" s="6"/>
      <c r="C97" s="6"/>
      <c r="D97" s="6"/>
    </row>
    <row r="98" customFormat="false" ht="15" hidden="false" customHeight="false" outlineLevel="0" collapsed="false">
      <c r="A98" s="5"/>
      <c r="B98" s="6"/>
      <c r="C98" s="6"/>
      <c r="D98" s="6"/>
    </row>
    <row r="99" customFormat="false" ht="15" hidden="false" customHeight="false" outlineLevel="0" collapsed="false">
      <c r="A99" s="5"/>
      <c r="B99" s="6"/>
      <c r="C99" s="6"/>
      <c r="D99" s="6"/>
    </row>
    <row r="100" customFormat="false" ht="15" hidden="false" customHeight="false" outlineLevel="0" collapsed="false">
      <c r="A100" s="5"/>
      <c r="B100" s="6"/>
      <c r="C100" s="6"/>
      <c r="D100" s="6"/>
    </row>
    <row r="101" customFormat="false" ht="15" hidden="false" customHeight="false" outlineLevel="0" collapsed="false">
      <c r="A101" s="5"/>
      <c r="B101" s="6"/>
      <c r="C101" s="6"/>
      <c r="D101" s="6"/>
    </row>
    <row r="102" customFormat="false" ht="15" hidden="false" customHeight="false" outlineLevel="0" collapsed="false">
      <c r="A102" s="5"/>
      <c r="B102" s="6"/>
      <c r="C102" s="6"/>
      <c r="D102" s="6"/>
    </row>
    <row r="103" customFormat="false" ht="15" hidden="false" customHeight="false" outlineLevel="0" collapsed="false">
      <c r="A103" s="5"/>
      <c r="B103" s="6"/>
      <c r="C103" s="6"/>
      <c r="D103" s="6"/>
    </row>
    <row r="104" customFormat="false" ht="15" hidden="false" customHeight="false" outlineLevel="0" collapsed="false">
      <c r="A104" s="5"/>
      <c r="B104" s="6"/>
      <c r="C104" s="6"/>
      <c r="D104" s="6"/>
    </row>
    <row r="105" customFormat="false" ht="15" hidden="false" customHeight="false" outlineLevel="0" collapsed="false">
      <c r="A105" s="5"/>
      <c r="B105" s="6"/>
      <c r="C105" s="6"/>
      <c r="D105" s="6"/>
    </row>
    <row r="106" customFormat="false" ht="15" hidden="false" customHeight="false" outlineLevel="0" collapsed="false">
      <c r="A106" s="5"/>
      <c r="B106" s="6"/>
      <c r="C106" s="6"/>
      <c r="D106" s="6"/>
    </row>
    <row r="107" customFormat="false" ht="15" hidden="false" customHeight="false" outlineLevel="0" collapsed="false">
      <c r="A107" s="5"/>
      <c r="B107" s="6"/>
      <c r="C107" s="6"/>
      <c r="D107" s="6"/>
    </row>
    <row r="108" customFormat="false" ht="15" hidden="false" customHeight="false" outlineLevel="0" collapsed="false">
      <c r="A108" s="5"/>
      <c r="B108" s="6"/>
      <c r="C108" s="6"/>
      <c r="D108" s="6"/>
    </row>
    <row r="109" customFormat="false" ht="15" hidden="false" customHeight="false" outlineLevel="0" collapsed="false">
      <c r="A109" s="5"/>
      <c r="B109" s="6"/>
      <c r="C109" s="6"/>
      <c r="D109" s="6"/>
    </row>
    <row r="110" customFormat="false" ht="15" hidden="false" customHeight="false" outlineLevel="0" collapsed="false">
      <c r="A110" s="5"/>
      <c r="B110" s="6"/>
      <c r="C110" s="6"/>
      <c r="D110" s="6"/>
    </row>
    <row r="111" customFormat="false" ht="15" hidden="false" customHeight="false" outlineLevel="0" collapsed="false">
      <c r="A111" s="5"/>
      <c r="B111" s="6"/>
      <c r="C111" s="6"/>
      <c r="D111" s="6"/>
    </row>
    <row r="112" customFormat="false" ht="15" hidden="false" customHeight="false" outlineLevel="0" collapsed="false">
      <c r="A112" s="5"/>
      <c r="B112" s="6"/>
      <c r="C112" s="6"/>
      <c r="D112" s="6"/>
    </row>
    <row r="113" customFormat="false" ht="15" hidden="false" customHeight="false" outlineLevel="0" collapsed="false">
      <c r="A113" s="5"/>
      <c r="B113" s="6"/>
      <c r="C113" s="6"/>
      <c r="D113" s="6"/>
    </row>
    <row r="114" customFormat="false" ht="15" hidden="false" customHeight="false" outlineLevel="0" collapsed="false">
      <c r="A114" s="5"/>
      <c r="B114" s="6"/>
      <c r="C114" s="6"/>
      <c r="D114" s="6"/>
    </row>
    <row r="115" customFormat="false" ht="15" hidden="false" customHeight="false" outlineLevel="0" collapsed="false">
      <c r="A115" s="5"/>
      <c r="B115" s="6"/>
      <c r="C115" s="6"/>
      <c r="D115" s="6"/>
    </row>
    <row r="116" customFormat="false" ht="15" hidden="false" customHeight="false" outlineLevel="0" collapsed="false">
      <c r="A116" s="5"/>
      <c r="B116" s="6"/>
      <c r="C116" s="6"/>
      <c r="D116" s="6"/>
    </row>
    <row r="117" customFormat="false" ht="15" hidden="false" customHeight="false" outlineLevel="0" collapsed="false">
      <c r="A117" s="5"/>
      <c r="B117" s="6"/>
      <c r="C117" s="6"/>
      <c r="D117" s="6"/>
    </row>
    <row r="118" customFormat="false" ht="15" hidden="false" customHeight="false" outlineLevel="0" collapsed="false">
      <c r="A118" s="5"/>
      <c r="B118" s="6"/>
      <c r="C118" s="6"/>
      <c r="D118" s="6"/>
    </row>
    <row r="119" customFormat="false" ht="15" hidden="false" customHeight="false" outlineLevel="0" collapsed="false">
      <c r="A119" s="5"/>
      <c r="B119" s="6"/>
      <c r="C119" s="6"/>
      <c r="D119" s="6"/>
    </row>
    <row r="120" customFormat="false" ht="15" hidden="false" customHeight="false" outlineLevel="0" collapsed="false">
      <c r="A120" s="5"/>
      <c r="B120" s="6"/>
      <c r="C120" s="6"/>
      <c r="D120" s="6"/>
    </row>
    <row r="121" customFormat="false" ht="15" hidden="false" customHeight="false" outlineLevel="0" collapsed="false">
      <c r="A121" s="5"/>
      <c r="B121" s="6"/>
      <c r="C121" s="6"/>
      <c r="D121" s="6"/>
    </row>
    <row r="122" customFormat="false" ht="15" hidden="false" customHeight="false" outlineLevel="0" collapsed="false">
      <c r="A122" s="5"/>
      <c r="B122" s="6"/>
      <c r="C122" s="6"/>
      <c r="D122" s="6"/>
    </row>
    <row r="123" customFormat="false" ht="15" hidden="false" customHeight="false" outlineLevel="0" collapsed="false">
      <c r="A123" s="5"/>
      <c r="B123" s="6"/>
      <c r="C123" s="6"/>
      <c r="D123" s="6"/>
    </row>
    <row r="124" customFormat="false" ht="15" hidden="false" customHeight="false" outlineLevel="0" collapsed="false">
      <c r="A124" s="5"/>
      <c r="B124" s="6"/>
      <c r="C124" s="6"/>
      <c r="D124" s="6"/>
    </row>
    <row r="125" customFormat="false" ht="15" hidden="false" customHeight="false" outlineLevel="0" collapsed="false">
      <c r="A125" s="5"/>
      <c r="B125" s="6"/>
      <c r="C125" s="6"/>
      <c r="D125" s="6"/>
    </row>
    <row r="126" customFormat="false" ht="15" hidden="false" customHeight="false" outlineLevel="0" collapsed="false">
      <c r="A126" s="5"/>
      <c r="B126" s="6"/>
      <c r="C126" s="6"/>
      <c r="D126" s="6"/>
    </row>
    <row r="127" customFormat="false" ht="15" hidden="false" customHeight="false" outlineLevel="0" collapsed="false">
      <c r="A127" s="5"/>
      <c r="B127" s="6"/>
      <c r="C127" s="6"/>
      <c r="D127" s="6"/>
    </row>
    <row r="128" customFormat="false" ht="15" hidden="false" customHeight="false" outlineLevel="0" collapsed="false">
      <c r="A128" s="5"/>
      <c r="B128" s="6"/>
      <c r="C128" s="6"/>
      <c r="D128" s="6"/>
    </row>
    <row r="129" customFormat="false" ht="15" hidden="false" customHeight="false" outlineLevel="0" collapsed="false">
      <c r="A129" s="5"/>
      <c r="B129" s="6"/>
      <c r="C129" s="6"/>
      <c r="D129" s="6"/>
    </row>
    <row r="130" customFormat="false" ht="15" hidden="false" customHeight="false" outlineLevel="0" collapsed="false">
      <c r="A130" s="5"/>
      <c r="B130" s="6"/>
      <c r="C130" s="6"/>
      <c r="D130" s="6"/>
    </row>
    <row r="131" customFormat="false" ht="15" hidden="false" customHeight="false" outlineLevel="0" collapsed="false">
      <c r="A131" s="5"/>
      <c r="B131" s="6"/>
      <c r="C131" s="6"/>
      <c r="D131" s="6"/>
    </row>
    <row r="132" customFormat="false" ht="15" hidden="false" customHeight="false" outlineLevel="0" collapsed="false">
      <c r="A132" s="5"/>
      <c r="B132" s="6"/>
      <c r="C132" s="6"/>
      <c r="D132" s="6"/>
    </row>
    <row r="133" customFormat="false" ht="15" hidden="false" customHeight="false" outlineLevel="0" collapsed="false">
      <c r="A133" s="5"/>
      <c r="B133" s="6"/>
      <c r="C133" s="6"/>
      <c r="D133" s="6"/>
    </row>
    <row r="134" customFormat="false" ht="15" hidden="false" customHeight="false" outlineLevel="0" collapsed="false">
      <c r="A134" s="5"/>
      <c r="B134" s="6"/>
      <c r="C134" s="6"/>
      <c r="D134" s="6"/>
    </row>
    <row r="135" customFormat="false" ht="15" hidden="false" customHeight="false" outlineLevel="0" collapsed="false">
      <c r="A135" s="5"/>
      <c r="B135" s="6"/>
      <c r="C135" s="6"/>
      <c r="D135" s="6"/>
    </row>
    <row r="136" customFormat="false" ht="15" hidden="false" customHeight="false" outlineLevel="0" collapsed="false">
      <c r="A136" s="5"/>
      <c r="B136" s="6"/>
      <c r="C136" s="6"/>
      <c r="D136" s="6"/>
    </row>
    <row r="137" customFormat="false" ht="15" hidden="false" customHeight="false" outlineLevel="0" collapsed="false">
      <c r="A137" s="5"/>
      <c r="B137" s="6"/>
      <c r="C137" s="6"/>
      <c r="D137" s="6"/>
    </row>
    <row r="138" customFormat="false" ht="15" hidden="false" customHeight="false" outlineLevel="0" collapsed="false">
      <c r="A138" s="5"/>
      <c r="B138" s="6"/>
      <c r="C138" s="6"/>
      <c r="D138" s="6"/>
    </row>
    <row r="139" customFormat="false" ht="15" hidden="false" customHeight="false" outlineLevel="0" collapsed="false">
      <c r="A139" s="5"/>
      <c r="B139" s="6"/>
      <c r="C139" s="6"/>
      <c r="D139" s="6"/>
    </row>
    <row r="140" customFormat="false" ht="15" hidden="false" customHeight="false" outlineLevel="0" collapsed="false">
      <c r="A140" s="5"/>
      <c r="B140" s="6"/>
      <c r="C140" s="6"/>
      <c r="D140" s="6"/>
    </row>
    <row r="141" customFormat="false" ht="15" hidden="false" customHeight="false" outlineLevel="0" collapsed="false">
      <c r="A141" s="5"/>
      <c r="B141" s="6"/>
      <c r="C141" s="6"/>
      <c r="D141" s="6"/>
    </row>
    <row r="142" customFormat="false" ht="15" hidden="false" customHeight="false" outlineLevel="0" collapsed="false">
      <c r="A142" s="5"/>
      <c r="B142" s="6"/>
      <c r="C142" s="6"/>
      <c r="D142" s="6"/>
    </row>
    <row r="143" customFormat="false" ht="15" hidden="false" customHeight="false" outlineLevel="0" collapsed="false">
      <c r="A143" s="5"/>
      <c r="B143" s="6"/>
      <c r="C143" s="6"/>
      <c r="D143" s="6"/>
    </row>
    <row r="144" customFormat="false" ht="15" hidden="false" customHeight="false" outlineLevel="0" collapsed="false">
      <c r="A144" s="5"/>
      <c r="B144" s="6"/>
      <c r="C144" s="6"/>
      <c r="D144" s="6"/>
    </row>
    <row r="145" customFormat="false" ht="15" hidden="false" customHeight="false" outlineLevel="0" collapsed="false">
      <c r="A145" s="5"/>
      <c r="B145" s="6"/>
      <c r="C145" s="6"/>
      <c r="D145" s="6"/>
    </row>
    <row r="146" customFormat="false" ht="15" hidden="false" customHeight="false" outlineLevel="0" collapsed="false">
      <c r="A146" s="5"/>
      <c r="B146" s="6"/>
      <c r="C146" s="6"/>
      <c r="D146" s="6"/>
    </row>
    <row r="147" customFormat="false" ht="15" hidden="false" customHeight="false" outlineLevel="0" collapsed="false">
      <c r="A147" s="5"/>
      <c r="B147" s="6"/>
      <c r="C147" s="6"/>
      <c r="D147" s="6"/>
    </row>
    <row r="148" customFormat="false" ht="15" hidden="false" customHeight="false" outlineLevel="0" collapsed="false">
      <c r="A148" s="5"/>
      <c r="B148" s="6"/>
      <c r="C148" s="6"/>
      <c r="D148" s="6"/>
    </row>
    <row r="149" customFormat="false" ht="15" hidden="false" customHeight="false" outlineLevel="0" collapsed="false">
      <c r="A149" s="5"/>
      <c r="B149" s="6"/>
      <c r="C149" s="6"/>
      <c r="D149" s="6"/>
    </row>
    <row r="150" customFormat="false" ht="15" hidden="false" customHeight="false" outlineLevel="0" collapsed="false">
      <c r="A150" s="5"/>
      <c r="B150" s="6"/>
      <c r="C150" s="6"/>
      <c r="D150" s="6"/>
    </row>
    <row r="151" customFormat="false" ht="15" hidden="false" customHeight="false" outlineLevel="0" collapsed="false">
      <c r="A151" s="5"/>
      <c r="B151" s="6"/>
      <c r="C151" s="6"/>
      <c r="D151" s="6"/>
    </row>
    <row r="152" customFormat="false" ht="15" hidden="false" customHeight="false" outlineLevel="0" collapsed="false">
      <c r="A152" s="5"/>
      <c r="B152" s="6"/>
      <c r="C152" s="6"/>
      <c r="D152" s="6"/>
    </row>
    <row r="153" customFormat="false" ht="15" hidden="false" customHeight="false" outlineLevel="0" collapsed="false">
      <c r="A153" s="5"/>
      <c r="B153" s="6"/>
      <c r="C153" s="6"/>
      <c r="D153" s="6"/>
    </row>
    <row r="154" customFormat="false" ht="15" hidden="false" customHeight="false" outlineLevel="0" collapsed="false">
      <c r="A154" s="5"/>
      <c r="B154" s="6"/>
      <c r="C154" s="6"/>
      <c r="D154" s="6"/>
    </row>
    <row r="155" customFormat="false" ht="15" hidden="false" customHeight="false" outlineLevel="0" collapsed="false">
      <c r="A155" s="5"/>
      <c r="B155" s="6"/>
      <c r="C155" s="6"/>
      <c r="D155" s="6"/>
    </row>
    <row r="156" customFormat="false" ht="15" hidden="false" customHeight="false" outlineLevel="0" collapsed="false">
      <c r="A156" s="5"/>
      <c r="B156" s="6"/>
      <c r="C156" s="6"/>
      <c r="D156" s="6"/>
    </row>
    <row r="157" customFormat="false" ht="15" hidden="false" customHeight="false" outlineLevel="0" collapsed="false">
      <c r="A157" s="5"/>
      <c r="B157" s="6"/>
      <c r="C157" s="6"/>
      <c r="D157" s="6"/>
    </row>
    <row r="158" customFormat="false" ht="15" hidden="false" customHeight="false" outlineLevel="0" collapsed="false">
      <c r="A158" s="5"/>
      <c r="B158" s="6"/>
      <c r="C158" s="6"/>
      <c r="D158" s="6"/>
    </row>
    <row r="159" customFormat="false" ht="15" hidden="false" customHeight="false" outlineLevel="0" collapsed="false">
      <c r="A159" s="5"/>
      <c r="B159" s="6"/>
      <c r="C159" s="6"/>
      <c r="D159" s="6"/>
    </row>
    <row r="160" customFormat="false" ht="15" hidden="false" customHeight="false" outlineLevel="0" collapsed="false">
      <c r="A160" s="5"/>
      <c r="B160" s="6"/>
      <c r="C160" s="6"/>
      <c r="D160" s="6"/>
    </row>
    <row r="161" customFormat="false" ht="15" hidden="false" customHeight="false" outlineLevel="0" collapsed="false">
      <c r="A161" s="5"/>
      <c r="B161" s="6"/>
      <c r="C161" s="6"/>
      <c r="D161" s="6"/>
    </row>
    <row r="162" customFormat="false" ht="15" hidden="false" customHeight="false" outlineLevel="0" collapsed="false">
      <c r="A162" s="5"/>
      <c r="B162" s="6"/>
      <c r="C162" s="6"/>
      <c r="D162" s="6"/>
    </row>
    <row r="163" customFormat="false" ht="15" hidden="false" customHeight="false" outlineLevel="0" collapsed="false">
      <c r="A163" s="5"/>
      <c r="B163" s="6"/>
      <c r="C163" s="6"/>
      <c r="D163" s="6"/>
    </row>
    <row r="164" customFormat="false" ht="15" hidden="false" customHeight="false" outlineLevel="0" collapsed="false">
      <c r="A164" s="5"/>
      <c r="B164" s="6"/>
      <c r="C164" s="6"/>
      <c r="D164" s="6"/>
    </row>
    <row r="165" customFormat="false" ht="15" hidden="false" customHeight="false" outlineLevel="0" collapsed="false">
      <c r="A165" s="5"/>
      <c r="B165" s="6"/>
      <c r="C165" s="6"/>
      <c r="D165" s="6"/>
    </row>
    <row r="166" customFormat="false" ht="15" hidden="false" customHeight="false" outlineLevel="0" collapsed="false">
      <c r="A166" s="5"/>
      <c r="B166" s="6"/>
      <c r="C166" s="6"/>
      <c r="D166" s="6"/>
    </row>
    <row r="167" customFormat="false" ht="15" hidden="false" customHeight="false" outlineLevel="0" collapsed="false">
      <c r="A167" s="5"/>
      <c r="B167" s="6"/>
      <c r="C167" s="6"/>
      <c r="D167" s="6"/>
    </row>
    <row r="168" customFormat="false" ht="15" hidden="false" customHeight="false" outlineLevel="0" collapsed="false">
      <c r="A168" s="5"/>
      <c r="B168" s="6"/>
      <c r="C168" s="6"/>
      <c r="D168" s="6"/>
    </row>
    <row r="169" customFormat="false" ht="15" hidden="false" customHeight="false" outlineLevel="0" collapsed="false">
      <c r="A169" s="5"/>
      <c r="B169" s="6"/>
      <c r="C169" s="6"/>
      <c r="D169" s="6"/>
    </row>
    <row r="170" customFormat="false" ht="15" hidden="false" customHeight="false" outlineLevel="0" collapsed="false">
      <c r="A170" s="5"/>
      <c r="B170" s="6"/>
      <c r="C170" s="6"/>
      <c r="D170" s="6"/>
    </row>
    <row r="171" customFormat="false" ht="15" hidden="false" customHeight="false" outlineLevel="0" collapsed="false">
      <c r="A171" s="5"/>
      <c r="B171" s="6"/>
      <c r="C171" s="6"/>
      <c r="D171" s="6"/>
    </row>
    <row r="172" customFormat="false" ht="15" hidden="false" customHeight="false" outlineLevel="0" collapsed="false">
      <c r="A172" s="5"/>
      <c r="B172" s="6"/>
      <c r="C172" s="6"/>
      <c r="D172" s="6"/>
    </row>
    <row r="173" customFormat="false" ht="15" hidden="false" customHeight="false" outlineLevel="0" collapsed="false">
      <c r="A173" s="5"/>
      <c r="B173" s="6"/>
      <c r="C173" s="6"/>
      <c r="D173" s="6"/>
    </row>
    <row r="174" customFormat="false" ht="15" hidden="false" customHeight="false" outlineLevel="0" collapsed="false">
      <c r="A174" s="5"/>
      <c r="B174" s="6"/>
      <c r="C174" s="6"/>
      <c r="D174" s="6"/>
    </row>
    <row r="175" customFormat="false" ht="15" hidden="false" customHeight="false" outlineLevel="0" collapsed="false">
      <c r="A175" s="5"/>
      <c r="B175" s="6"/>
      <c r="C175" s="6"/>
      <c r="D175" s="6"/>
    </row>
    <row r="176" customFormat="false" ht="15" hidden="false" customHeight="false" outlineLevel="0" collapsed="false">
      <c r="A176" s="5"/>
      <c r="B176" s="6"/>
      <c r="C176" s="6"/>
      <c r="D176" s="6"/>
    </row>
    <row r="177" customFormat="false" ht="15" hidden="false" customHeight="false" outlineLevel="0" collapsed="false">
      <c r="A177" s="5"/>
      <c r="B177" s="6"/>
      <c r="C177" s="6"/>
      <c r="D177" s="6"/>
    </row>
    <row r="178" customFormat="false" ht="15" hidden="false" customHeight="false" outlineLevel="0" collapsed="false">
      <c r="A178" s="5"/>
      <c r="B178" s="6"/>
      <c r="C178" s="6"/>
      <c r="D178" s="6"/>
    </row>
    <row r="179" customFormat="false" ht="15" hidden="false" customHeight="false" outlineLevel="0" collapsed="false">
      <c r="A179" s="5"/>
      <c r="B179" s="6"/>
      <c r="C179" s="6"/>
      <c r="D179" s="6"/>
    </row>
    <row r="180" customFormat="false" ht="15" hidden="false" customHeight="false" outlineLevel="0" collapsed="false">
      <c r="A180" s="5"/>
      <c r="B180" s="6"/>
      <c r="C180" s="6"/>
      <c r="D180" s="6"/>
    </row>
    <row r="181" customFormat="false" ht="15" hidden="false" customHeight="false" outlineLevel="0" collapsed="false">
      <c r="A181" s="5"/>
      <c r="B181" s="6"/>
      <c r="C181" s="6"/>
      <c r="D181" s="6"/>
    </row>
    <row r="182" customFormat="false" ht="15" hidden="false" customHeight="false" outlineLevel="0" collapsed="false">
      <c r="A182" s="5"/>
      <c r="B182" s="6"/>
      <c r="C182" s="6"/>
      <c r="D182" s="6"/>
    </row>
    <row r="183" customFormat="false" ht="15" hidden="false" customHeight="false" outlineLevel="0" collapsed="false">
      <c r="A183" s="5"/>
      <c r="B183" s="6"/>
      <c r="C183" s="6"/>
      <c r="D183" s="6"/>
    </row>
    <row r="184" customFormat="false" ht="15" hidden="false" customHeight="false" outlineLevel="0" collapsed="false">
      <c r="A184" s="5"/>
      <c r="B184" s="6"/>
      <c r="C184" s="6"/>
      <c r="D184" s="6"/>
    </row>
    <row r="185" customFormat="false" ht="15" hidden="false" customHeight="false" outlineLevel="0" collapsed="false">
      <c r="A185" s="5"/>
      <c r="B185" s="6"/>
      <c r="C185" s="6"/>
      <c r="D185" s="6"/>
    </row>
    <row r="186" customFormat="false" ht="15" hidden="false" customHeight="false" outlineLevel="0" collapsed="false">
      <c r="A186" s="5"/>
      <c r="B186" s="6"/>
      <c r="C186" s="6"/>
      <c r="D186" s="6"/>
    </row>
    <row r="187" customFormat="false" ht="15" hidden="false" customHeight="false" outlineLevel="0" collapsed="false">
      <c r="A187" s="5"/>
      <c r="B187" s="6"/>
      <c r="C187" s="6"/>
      <c r="D187" s="6"/>
    </row>
    <row r="188" customFormat="false" ht="15" hidden="false" customHeight="false" outlineLevel="0" collapsed="false">
      <c r="A188" s="5"/>
      <c r="B188" s="6"/>
      <c r="C188" s="6"/>
      <c r="D188" s="6"/>
    </row>
    <row r="189" customFormat="false" ht="15" hidden="false" customHeight="false" outlineLevel="0" collapsed="false">
      <c r="A189" s="5"/>
      <c r="B189" s="6"/>
      <c r="C189" s="6"/>
      <c r="D189" s="6"/>
    </row>
    <row r="190" customFormat="false" ht="15" hidden="false" customHeight="false" outlineLevel="0" collapsed="false">
      <c r="A190" s="5"/>
      <c r="B190" s="6"/>
      <c r="C190" s="6"/>
      <c r="D190" s="6"/>
    </row>
    <row r="191" customFormat="false" ht="15" hidden="false" customHeight="false" outlineLevel="0" collapsed="false">
      <c r="A191" s="5"/>
      <c r="B191" s="6"/>
      <c r="C191" s="6"/>
      <c r="D191" s="6"/>
    </row>
    <row r="192" customFormat="false" ht="15" hidden="false" customHeight="false" outlineLevel="0" collapsed="false">
      <c r="A192" s="5"/>
      <c r="B192" s="6"/>
      <c r="C192" s="6"/>
      <c r="D192" s="6"/>
    </row>
    <row r="193" customFormat="false" ht="15" hidden="false" customHeight="false" outlineLevel="0" collapsed="false">
      <c r="A193" s="5"/>
      <c r="B193" s="6"/>
      <c r="C193" s="6"/>
      <c r="D193" s="6"/>
    </row>
    <row r="194" customFormat="false" ht="15" hidden="false" customHeight="false" outlineLevel="0" collapsed="false">
      <c r="A194" s="5"/>
      <c r="B194" s="6"/>
      <c r="C194" s="6"/>
      <c r="D194" s="6"/>
    </row>
    <row r="195" customFormat="false" ht="15" hidden="false" customHeight="false" outlineLevel="0" collapsed="false">
      <c r="A195" s="5"/>
      <c r="B195" s="6"/>
      <c r="C195" s="6"/>
      <c r="D195" s="6"/>
    </row>
    <row r="196" customFormat="false" ht="15" hidden="false" customHeight="false" outlineLevel="0" collapsed="false">
      <c r="A196" s="5"/>
      <c r="B196" s="6"/>
      <c r="C196" s="6"/>
      <c r="D196" s="6"/>
    </row>
    <row r="197" customFormat="false" ht="15" hidden="false" customHeight="false" outlineLevel="0" collapsed="false">
      <c r="A197" s="5"/>
      <c r="B197" s="6"/>
      <c r="C197" s="6"/>
      <c r="D197" s="6"/>
    </row>
    <row r="198" customFormat="false" ht="15" hidden="false" customHeight="false" outlineLevel="0" collapsed="false">
      <c r="A198" s="5"/>
      <c r="B198" s="6"/>
      <c r="C198" s="6"/>
      <c r="D198" s="6"/>
    </row>
    <row r="199" customFormat="false" ht="15" hidden="false" customHeight="false" outlineLevel="0" collapsed="false">
      <c r="A199" s="5"/>
      <c r="B199" s="6"/>
      <c r="C199" s="6"/>
      <c r="D199" s="6"/>
    </row>
    <row r="200" customFormat="false" ht="15" hidden="false" customHeight="false" outlineLevel="0" collapsed="false">
      <c r="A200" s="5"/>
      <c r="B200" s="6"/>
      <c r="C200" s="6"/>
      <c r="D200" s="6"/>
    </row>
    <row r="201" customFormat="false" ht="15" hidden="false" customHeight="false" outlineLevel="0" collapsed="false">
      <c r="A201" s="5"/>
      <c r="B201" s="6"/>
      <c r="C201" s="6"/>
      <c r="D201" s="6"/>
    </row>
    <row r="202" customFormat="false" ht="15" hidden="false" customHeight="false" outlineLevel="0" collapsed="false">
      <c r="A202" s="5"/>
      <c r="B202" s="6"/>
      <c r="C202" s="6"/>
      <c r="D202" s="6"/>
    </row>
    <row r="203" customFormat="false" ht="15" hidden="false" customHeight="false" outlineLevel="0" collapsed="false">
      <c r="A203" s="5"/>
      <c r="B203" s="6"/>
      <c r="C203" s="6"/>
      <c r="D203" s="6"/>
    </row>
    <row r="204" customFormat="false" ht="15" hidden="false" customHeight="false" outlineLevel="0" collapsed="false">
      <c r="A204" s="5"/>
      <c r="B204" s="6"/>
      <c r="C204" s="6"/>
      <c r="D204" s="6"/>
    </row>
    <row r="205" customFormat="false" ht="15" hidden="false" customHeight="false" outlineLevel="0" collapsed="false">
      <c r="A205" s="5"/>
      <c r="B205" s="6"/>
      <c r="C205" s="6"/>
      <c r="D205" s="6"/>
    </row>
    <row r="206" customFormat="false" ht="15" hidden="false" customHeight="false" outlineLevel="0" collapsed="false">
      <c r="A206" s="5"/>
      <c r="B206" s="6"/>
      <c r="C206" s="6"/>
      <c r="D206" s="6"/>
    </row>
    <row r="207" customFormat="false" ht="15" hidden="false" customHeight="false" outlineLevel="0" collapsed="false">
      <c r="A207" s="5"/>
      <c r="B207" s="6"/>
      <c r="C207" s="6"/>
      <c r="D207" s="6"/>
    </row>
    <row r="208" customFormat="false" ht="15" hidden="false" customHeight="false" outlineLevel="0" collapsed="false">
      <c r="A208" s="5"/>
      <c r="B208" s="6"/>
      <c r="C208" s="6"/>
      <c r="D208" s="6"/>
    </row>
    <row r="209" customFormat="false" ht="15" hidden="false" customHeight="false" outlineLevel="0" collapsed="false">
      <c r="A209" s="5"/>
      <c r="B209" s="6"/>
      <c r="C209" s="6"/>
      <c r="D209" s="6"/>
    </row>
    <row r="210" customFormat="false" ht="15" hidden="false" customHeight="false" outlineLevel="0" collapsed="false">
      <c r="A210" s="5"/>
      <c r="B210" s="6"/>
      <c r="C210" s="6"/>
      <c r="D210" s="6"/>
    </row>
    <row r="211" customFormat="false" ht="15" hidden="false" customHeight="false" outlineLevel="0" collapsed="false">
      <c r="A211" s="5"/>
      <c r="B211" s="6"/>
      <c r="C211" s="6"/>
      <c r="D211" s="6"/>
    </row>
    <row r="212" customFormat="false" ht="15" hidden="false" customHeight="false" outlineLevel="0" collapsed="false">
      <c r="A212" s="5"/>
      <c r="B212" s="6"/>
      <c r="C212" s="6"/>
      <c r="D212" s="6"/>
    </row>
    <row r="213" customFormat="false" ht="15" hidden="false" customHeight="false" outlineLevel="0" collapsed="false">
      <c r="A213" s="5"/>
      <c r="B213" s="6"/>
      <c r="C213" s="6"/>
      <c r="D213" s="6"/>
    </row>
    <row r="214" customFormat="false" ht="15" hidden="false" customHeight="false" outlineLevel="0" collapsed="false">
      <c r="A214" s="5"/>
      <c r="B214" s="6"/>
      <c r="C214" s="6"/>
      <c r="D214" s="6"/>
    </row>
    <row r="215" customFormat="false" ht="15" hidden="false" customHeight="false" outlineLevel="0" collapsed="false">
      <c r="A215" s="5"/>
      <c r="B215" s="6"/>
      <c r="C215" s="6"/>
      <c r="D215" s="6"/>
    </row>
    <row r="216" customFormat="false" ht="15" hidden="false" customHeight="false" outlineLevel="0" collapsed="false">
      <c r="A216" s="5"/>
      <c r="B216" s="6"/>
      <c r="C216" s="6"/>
      <c r="D216" s="6"/>
    </row>
    <row r="217" customFormat="false" ht="15" hidden="false" customHeight="false" outlineLevel="0" collapsed="false">
      <c r="A217" s="5"/>
      <c r="B217" s="6"/>
      <c r="C217" s="6"/>
      <c r="D217" s="6"/>
    </row>
    <row r="218" customFormat="false" ht="15" hidden="false" customHeight="false" outlineLevel="0" collapsed="false">
      <c r="A218" s="5"/>
      <c r="B218" s="6"/>
      <c r="C218" s="6"/>
      <c r="D218" s="6"/>
    </row>
    <row r="219" customFormat="false" ht="15" hidden="false" customHeight="false" outlineLevel="0" collapsed="false">
      <c r="A219" s="5"/>
      <c r="B219" s="6"/>
      <c r="C219" s="6"/>
      <c r="D219" s="6"/>
    </row>
    <row r="220" customFormat="false" ht="15" hidden="false" customHeight="false" outlineLevel="0" collapsed="false">
      <c r="A220" s="5"/>
      <c r="B220" s="6"/>
      <c r="C220" s="6"/>
      <c r="D220" s="6"/>
    </row>
    <row r="221" customFormat="false" ht="15" hidden="false" customHeight="false" outlineLevel="0" collapsed="false">
      <c r="A221" s="5"/>
      <c r="B221" s="6"/>
      <c r="C221" s="6"/>
      <c r="D221" s="6"/>
    </row>
    <row r="222" customFormat="false" ht="15" hidden="false" customHeight="false" outlineLevel="0" collapsed="false">
      <c r="A222" s="5"/>
      <c r="B222" s="6"/>
      <c r="C222" s="6"/>
      <c r="D222" s="6"/>
    </row>
    <row r="223" customFormat="false" ht="15" hidden="false" customHeight="false" outlineLevel="0" collapsed="false">
      <c r="A223" s="5"/>
      <c r="B223" s="6"/>
      <c r="C223" s="6"/>
      <c r="D223" s="6"/>
    </row>
    <row r="224" customFormat="false" ht="15" hidden="false" customHeight="false" outlineLevel="0" collapsed="false">
      <c r="A224" s="5"/>
      <c r="B224" s="6"/>
      <c r="C224" s="6"/>
      <c r="D224" s="6"/>
    </row>
    <row r="225" customFormat="false" ht="15" hidden="false" customHeight="false" outlineLevel="0" collapsed="false">
      <c r="A225" s="5"/>
      <c r="B225" s="6"/>
      <c r="C225" s="6"/>
      <c r="D225" s="6"/>
    </row>
    <row r="226" customFormat="false" ht="15" hidden="false" customHeight="false" outlineLevel="0" collapsed="false">
      <c r="A226" s="5"/>
      <c r="B226" s="6"/>
      <c r="C226" s="6"/>
      <c r="D226" s="6"/>
    </row>
    <row r="227" customFormat="false" ht="15" hidden="false" customHeight="false" outlineLevel="0" collapsed="false">
      <c r="A227" s="5"/>
      <c r="B227" s="6"/>
      <c r="C227" s="6"/>
      <c r="D227" s="6"/>
    </row>
    <row r="228" customFormat="false" ht="15" hidden="false" customHeight="false" outlineLevel="0" collapsed="false">
      <c r="A228" s="5"/>
      <c r="B228" s="6"/>
      <c r="C228" s="6"/>
      <c r="D228" s="6"/>
    </row>
    <row r="229" customFormat="false" ht="15" hidden="false" customHeight="false" outlineLevel="0" collapsed="false">
      <c r="A229" s="5"/>
      <c r="B229" s="6"/>
      <c r="C229" s="6"/>
      <c r="D229" s="6"/>
    </row>
    <row r="230" customFormat="false" ht="15" hidden="false" customHeight="false" outlineLevel="0" collapsed="false">
      <c r="A230" s="5"/>
      <c r="B230" s="6"/>
      <c r="C230" s="6"/>
      <c r="D230" s="6"/>
    </row>
    <row r="231" customFormat="false" ht="15" hidden="false" customHeight="false" outlineLevel="0" collapsed="false">
      <c r="A231" s="5"/>
      <c r="B231" s="6"/>
      <c r="C231" s="6"/>
      <c r="D231" s="6"/>
    </row>
    <row r="232" customFormat="false" ht="15" hidden="false" customHeight="false" outlineLevel="0" collapsed="false">
      <c r="A232" s="5"/>
      <c r="B232" s="6"/>
      <c r="C232" s="6"/>
      <c r="D232" s="6"/>
    </row>
    <row r="233" customFormat="false" ht="15" hidden="false" customHeight="false" outlineLevel="0" collapsed="false">
      <c r="A233" s="5"/>
      <c r="B233" s="6"/>
      <c r="C233" s="6"/>
      <c r="D233" s="6"/>
    </row>
    <row r="234" customFormat="false" ht="15" hidden="false" customHeight="false" outlineLevel="0" collapsed="false">
      <c r="A234" s="5"/>
      <c r="B234" s="6"/>
      <c r="C234" s="6"/>
      <c r="D234" s="6"/>
    </row>
    <row r="235" customFormat="false" ht="15" hidden="false" customHeight="false" outlineLevel="0" collapsed="false">
      <c r="A235" s="5"/>
      <c r="B235" s="6"/>
      <c r="C235" s="6"/>
      <c r="D235" s="6"/>
    </row>
    <row r="236" customFormat="false" ht="15" hidden="false" customHeight="false" outlineLevel="0" collapsed="false">
      <c r="A236" s="5"/>
      <c r="B236" s="6"/>
      <c r="C236" s="6"/>
      <c r="D236" s="6"/>
    </row>
    <row r="237" customFormat="false" ht="15" hidden="false" customHeight="false" outlineLevel="0" collapsed="false">
      <c r="A237" s="5"/>
      <c r="B237" s="6"/>
      <c r="C237" s="6"/>
      <c r="D237" s="6"/>
    </row>
    <row r="238" customFormat="false" ht="15" hidden="false" customHeight="false" outlineLevel="0" collapsed="false">
      <c r="A238" s="5"/>
      <c r="B238" s="6"/>
      <c r="C238" s="6"/>
      <c r="D238" s="6"/>
    </row>
    <row r="239" customFormat="false" ht="15" hidden="false" customHeight="false" outlineLevel="0" collapsed="false">
      <c r="A239" s="5"/>
      <c r="B239" s="6"/>
      <c r="C239" s="6"/>
      <c r="D239" s="6"/>
    </row>
    <row r="240" customFormat="false" ht="15" hidden="false" customHeight="false" outlineLevel="0" collapsed="false">
      <c r="A240" s="5"/>
      <c r="B240" s="6"/>
      <c r="C240" s="6"/>
      <c r="D240" s="6"/>
    </row>
    <row r="241" customFormat="false" ht="15" hidden="false" customHeight="false" outlineLevel="0" collapsed="false">
      <c r="A241" s="5"/>
      <c r="B241" s="6"/>
      <c r="C241" s="6"/>
      <c r="D241" s="6"/>
    </row>
    <row r="242" customFormat="false" ht="15" hidden="false" customHeight="false" outlineLevel="0" collapsed="false">
      <c r="A242" s="5"/>
      <c r="B242" s="6"/>
      <c r="C242" s="6"/>
      <c r="D242" s="6"/>
    </row>
    <row r="243" customFormat="false" ht="15" hidden="false" customHeight="false" outlineLevel="0" collapsed="false">
      <c r="A243" s="5"/>
      <c r="B243" s="6"/>
      <c r="C243" s="6"/>
      <c r="D243" s="6"/>
    </row>
    <row r="244" customFormat="false" ht="15" hidden="false" customHeight="false" outlineLevel="0" collapsed="false">
      <c r="A244" s="5"/>
      <c r="B244" s="6"/>
      <c r="C244" s="6"/>
      <c r="D244" s="6"/>
    </row>
    <row r="245" customFormat="false" ht="15" hidden="false" customHeight="false" outlineLevel="0" collapsed="false">
      <c r="A245" s="5"/>
      <c r="B245" s="6"/>
      <c r="C245" s="6"/>
      <c r="D245" s="6"/>
    </row>
    <row r="246" customFormat="false" ht="15" hidden="false" customHeight="false" outlineLevel="0" collapsed="false">
      <c r="A246" s="5"/>
      <c r="B246" s="6"/>
      <c r="C246" s="6"/>
      <c r="D246" s="6"/>
    </row>
    <row r="247" customFormat="false" ht="15" hidden="false" customHeight="false" outlineLevel="0" collapsed="false">
      <c r="A247" s="5"/>
      <c r="B247" s="6"/>
      <c r="C247" s="6"/>
      <c r="D247" s="6"/>
    </row>
    <row r="248" customFormat="false" ht="15" hidden="false" customHeight="false" outlineLevel="0" collapsed="false">
      <c r="A248" s="5"/>
      <c r="B248" s="6"/>
      <c r="C248" s="6"/>
      <c r="D248" s="6"/>
    </row>
    <row r="249" customFormat="false" ht="15" hidden="false" customHeight="false" outlineLevel="0" collapsed="false">
      <c r="A249" s="5"/>
      <c r="B249" s="6"/>
      <c r="C249" s="6"/>
      <c r="D249" s="6"/>
    </row>
    <row r="250" customFormat="false" ht="15" hidden="false" customHeight="false" outlineLevel="0" collapsed="false">
      <c r="A250" s="5"/>
      <c r="B250" s="6"/>
      <c r="C250" s="6"/>
      <c r="D250" s="6"/>
    </row>
    <row r="251" customFormat="false" ht="15" hidden="false" customHeight="false" outlineLevel="0" collapsed="false">
      <c r="A251" s="5"/>
      <c r="B251" s="6"/>
      <c r="C251" s="6"/>
      <c r="D251" s="6"/>
    </row>
    <row r="252" customFormat="false" ht="15" hidden="false" customHeight="false" outlineLevel="0" collapsed="false">
      <c r="A252" s="5"/>
      <c r="B252" s="6"/>
      <c r="C252" s="6"/>
      <c r="D252" s="6"/>
    </row>
    <row r="253" customFormat="false" ht="15" hidden="false" customHeight="false" outlineLevel="0" collapsed="false">
      <c r="A253" s="5"/>
      <c r="B253" s="6"/>
      <c r="C253" s="6"/>
      <c r="D253" s="6"/>
    </row>
    <row r="254" customFormat="false" ht="15" hidden="false" customHeight="false" outlineLevel="0" collapsed="false">
      <c r="A254" s="5"/>
      <c r="B254" s="6"/>
      <c r="C254" s="6"/>
      <c r="D254" s="6"/>
    </row>
    <row r="255" customFormat="false" ht="15" hidden="false" customHeight="false" outlineLevel="0" collapsed="false">
      <c r="A255" s="5"/>
      <c r="B255" s="6"/>
      <c r="C255" s="6"/>
      <c r="D255" s="6"/>
    </row>
    <row r="256" customFormat="false" ht="15" hidden="false" customHeight="false" outlineLevel="0" collapsed="false">
      <c r="A256" s="5"/>
      <c r="B256" s="6"/>
      <c r="C256" s="6"/>
      <c r="D256" s="6"/>
    </row>
    <row r="257" customFormat="false" ht="15" hidden="false" customHeight="false" outlineLevel="0" collapsed="false">
      <c r="A257" s="5"/>
      <c r="B257" s="6"/>
      <c r="C257" s="6"/>
      <c r="D257" s="6"/>
    </row>
    <row r="258" customFormat="false" ht="15" hidden="false" customHeight="false" outlineLevel="0" collapsed="false">
      <c r="A258" s="5"/>
      <c r="B258" s="6"/>
      <c r="C258" s="6"/>
      <c r="D258" s="6"/>
    </row>
    <row r="259" customFormat="false" ht="15" hidden="false" customHeight="false" outlineLevel="0" collapsed="false">
      <c r="A259" s="5"/>
      <c r="B259" s="6"/>
      <c r="C259" s="6"/>
      <c r="D259" s="6"/>
    </row>
    <row r="260" customFormat="false" ht="15" hidden="false" customHeight="false" outlineLevel="0" collapsed="false">
      <c r="A260" s="5"/>
      <c r="B260" s="6"/>
      <c r="C260" s="6"/>
      <c r="D260" s="6"/>
    </row>
    <row r="261" customFormat="false" ht="15" hidden="false" customHeight="false" outlineLevel="0" collapsed="false">
      <c r="A261" s="5"/>
      <c r="B261" s="6"/>
      <c r="C261" s="6"/>
      <c r="D261" s="6"/>
    </row>
    <row r="262" customFormat="false" ht="15" hidden="false" customHeight="false" outlineLevel="0" collapsed="false">
      <c r="A262" s="5"/>
      <c r="B262" s="6"/>
      <c r="C262" s="6"/>
      <c r="D262" s="6"/>
    </row>
    <row r="263" customFormat="false" ht="15" hidden="false" customHeight="false" outlineLevel="0" collapsed="false">
      <c r="A263" s="5"/>
      <c r="B263" s="6"/>
      <c r="C263" s="6"/>
      <c r="D263" s="6"/>
    </row>
    <row r="264" customFormat="false" ht="15" hidden="false" customHeight="false" outlineLevel="0" collapsed="false">
      <c r="A264" s="5"/>
      <c r="B264" s="6"/>
      <c r="C264" s="6"/>
      <c r="D264" s="6"/>
    </row>
    <row r="265" customFormat="false" ht="15" hidden="false" customHeight="false" outlineLevel="0" collapsed="false">
      <c r="A265" s="5"/>
      <c r="B265" s="6"/>
      <c r="C265" s="6"/>
      <c r="D265" s="6"/>
    </row>
    <row r="266" customFormat="false" ht="15" hidden="false" customHeight="false" outlineLevel="0" collapsed="false">
      <c r="A266" s="5"/>
      <c r="B266" s="6"/>
      <c r="C266" s="6"/>
      <c r="D266" s="6"/>
    </row>
    <row r="267" customFormat="false" ht="15" hidden="false" customHeight="false" outlineLevel="0" collapsed="false">
      <c r="A267" s="5"/>
      <c r="B267" s="6"/>
      <c r="C267" s="6"/>
      <c r="D267" s="6"/>
    </row>
    <row r="268" customFormat="false" ht="15" hidden="false" customHeight="false" outlineLevel="0" collapsed="false">
      <c r="A268" s="5"/>
      <c r="B268" s="6"/>
      <c r="C268" s="6"/>
      <c r="D268" s="6"/>
    </row>
    <row r="269" customFormat="false" ht="15" hidden="false" customHeight="false" outlineLevel="0" collapsed="false">
      <c r="A269" s="5"/>
      <c r="B269" s="6"/>
      <c r="C269" s="6"/>
      <c r="D269" s="6"/>
    </row>
    <row r="270" customFormat="false" ht="15" hidden="false" customHeight="false" outlineLevel="0" collapsed="false">
      <c r="A270" s="5"/>
      <c r="B270" s="6"/>
      <c r="C270" s="6"/>
      <c r="D270" s="6"/>
    </row>
    <row r="271" customFormat="false" ht="15" hidden="false" customHeight="false" outlineLevel="0" collapsed="false">
      <c r="A271" s="5"/>
      <c r="B271" s="6"/>
      <c r="C271" s="6"/>
      <c r="D271" s="6"/>
    </row>
    <row r="272" customFormat="false" ht="15" hidden="false" customHeight="false" outlineLevel="0" collapsed="false">
      <c r="A272" s="5"/>
      <c r="B272" s="6"/>
      <c r="C272" s="6"/>
      <c r="D272" s="6"/>
    </row>
    <row r="273" customFormat="false" ht="15" hidden="false" customHeight="false" outlineLevel="0" collapsed="false">
      <c r="A273" s="5"/>
      <c r="B273" s="6"/>
      <c r="C273" s="6"/>
      <c r="D273" s="6"/>
    </row>
    <row r="274" customFormat="false" ht="15" hidden="false" customHeight="false" outlineLevel="0" collapsed="false">
      <c r="A274" s="5"/>
      <c r="B274" s="6"/>
      <c r="C274" s="6"/>
      <c r="D274" s="6"/>
    </row>
    <row r="275" customFormat="false" ht="15" hidden="false" customHeight="false" outlineLevel="0" collapsed="false">
      <c r="A275" s="5"/>
      <c r="B275" s="6"/>
      <c r="C275" s="6"/>
      <c r="D275" s="6"/>
    </row>
    <row r="276" customFormat="false" ht="15" hidden="false" customHeight="false" outlineLevel="0" collapsed="false">
      <c r="A276" s="5"/>
      <c r="B276" s="6"/>
      <c r="C276" s="6"/>
      <c r="D276" s="6"/>
    </row>
    <row r="277" customFormat="false" ht="15" hidden="false" customHeight="false" outlineLevel="0" collapsed="false">
      <c r="A277" s="5"/>
      <c r="B277" s="6"/>
      <c r="C277" s="6"/>
      <c r="D277" s="6"/>
    </row>
    <row r="278" customFormat="false" ht="15" hidden="false" customHeight="false" outlineLevel="0" collapsed="false">
      <c r="A278" s="5"/>
      <c r="B278" s="6"/>
      <c r="C278" s="6"/>
      <c r="D278" s="6"/>
    </row>
    <row r="279" customFormat="false" ht="15" hidden="false" customHeight="false" outlineLevel="0" collapsed="false">
      <c r="A279" s="5"/>
      <c r="B279" s="6"/>
      <c r="C279" s="6"/>
      <c r="D279" s="6"/>
    </row>
    <row r="280" customFormat="false" ht="15" hidden="false" customHeight="false" outlineLevel="0" collapsed="false">
      <c r="A280" s="5"/>
      <c r="B280" s="6"/>
      <c r="C280" s="6"/>
      <c r="D280" s="6"/>
    </row>
    <row r="281" customFormat="false" ht="15" hidden="false" customHeight="false" outlineLevel="0" collapsed="false">
      <c r="A281" s="5"/>
      <c r="B281" s="6"/>
      <c r="C281" s="6"/>
      <c r="D281" s="6"/>
    </row>
    <row r="282" customFormat="false" ht="15" hidden="false" customHeight="false" outlineLevel="0" collapsed="false">
      <c r="A282" s="5"/>
      <c r="B282" s="6"/>
      <c r="C282" s="6"/>
      <c r="D282" s="6"/>
    </row>
    <row r="283" customFormat="false" ht="15" hidden="false" customHeight="false" outlineLevel="0" collapsed="false">
      <c r="A283" s="5"/>
      <c r="B283" s="6"/>
      <c r="C283" s="6"/>
      <c r="D283" s="6"/>
    </row>
    <row r="284" customFormat="false" ht="15" hidden="false" customHeight="false" outlineLevel="0" collapsed="false">
      <c r="A284" s="5"/>
      <c r="B284" s="6"/>
      <c r="C284" s="6"/>
      <c r="D284" s="6"/>
    </row>
    <row r="285" customFormat="false" ht="15" hidden="false" customHeight="false" outlineLevel="0" collapsed="false">
      <c r="A285" s="5"/>
      <c r="B285" s="6"/>
      <c r="C285" s="6"/>
      <c r="D285" s="6"/>
    </row>
    <row r="286" customFormat="false" ht="15" hidden="false" customHeight="false" outlineLevel="0" collapsed="false">
      <c r="A286" s="5"/>
      <c r="B286" s="6"/>
      <c r="C286" s="6"/>
      <c r="D286" s="6"/>
    </row>
    <row r="287" customFormat="false" ht="15" hidden="false" customHeight="false" outlineLevel="0" collapsed="false">
      <c r="A287" s="5"/>
      <c r="B287" s="6"/>
      <c r="C287" s="6"/>
      <c r="D287" s="6"/>
    </row>
    <row r="288" customFormat="false" ht="15" hidden="false" customHeight="false" outlineLevel="0" collapsed="false">
      <c r="A288" s="5"/>
      <c r="B288" s="6"/>
      <c r="C288" s="6"/>
      <c r="D288" s="6"/>
    </row>
    <row r="289" customFormat="false" ht="15" hidden="false" customHeight="false" outlineLevel="0" collapsed="false">
      <c r="A289" s="5"/>
      <c r="B289" s="6"/>
      <c r="C289" s="6"/>
      <c r="D289" s="6"/>
    </row>
    <row r="290" customFormat="false" ht="15" hidden="false" customHeight="false" outlineLevel="0" collapsed="false">
      <c r="A290" s="5"/>
      <c r="B290" s="6"/>
      <c r="C290" s="6"/>
      <c r="D290" s="6"/>
    </row>
    <row r="291" customFormat="false" ht="15" hidden="false" customHeight="false" outlineLevel="0" collapsed="false">
      <c r="A291" s="5"/>
      <c r="B291" s="6"/>
      <c r="C291" s="6"/>
      <c r="D291" s="6"/>
    </row>
    <row r="292" customFormat="false" ht="15" hidden="false" customHeight="false" outlineLevel="0" collapsed="false">
      <c r="A292" s="5"/>
      <c r="B292" s="6"/>
      <c r="C292" s="6"/>
      <c r="D292" s="6"/>
    </row>
    <row r="293" customFormat="false" ht="15" hidden="false" customHeight="false" outlineLevel="0" collapsed="false">
      <c r="A293" s="5"/>
      <c r="B293" s="6"/>
      <c r="C293" s="6"/>
      <c r="D293" s="6"/>
    </row>
    <row r="294" customFormat="false" ht="15" hidden="false" customHeight="false" outlineLevel="0" collapsed="false">
      <c r="A294" s="5"/>
      <c r="B294" s="6"/>
      <c r="C294" s="6"/>
      <c r="D294" s="6"/>
    </row>
    <row r="295" customFormat="false" ht="15" hidden="false" customHeight="false" outlineLevel="0" collapsed="false">
      <c r="A295" s="5"/>
      <c r="B295" s="6"/>
      <c r="C295" s="6"/>
      <c r="D295" s="6"/>
    </row>
    <row r="296" customFormat="false" ht="15" hidden="false" customHeight="false" outlineLevel="0" collapsed="false">
      <c r="A296" s="5"/>
      <c r="B296" s="6"/>
      <c r="C296" s="6"/>
      <c r="D296" s="6"/>
    </row>
    <row r="297" customFormat="false" ht="15" hidden="false" customHeight="false" outlineLevel="0" collapsed="false">
      <c r="A297" s="5"/>
      <c r="B297" s="6"/>
      <c r="C297" s="6"/>
      <c r="D297" s="6"/>
    </row>
    <row r="298" customFormat="false" ht="15" hidden="false" customHeight="false" outlineLevel="0" collapsed="false">
      <c r="A298" s="5"/>
      <c r="B298" s="6"/>
      <c r="C298" s="6"/>
      <c r="D298" s="6"/>
    </row>
    <row r="299" customFormat="false" ht="15" hidden="false" customHeight="false" outlineLevel="0" collapsed="false">
      <c r="A299" s="5"/>
      <c r="B299" s="6"/>
      <c r="C299" s="6"/>
      <c r="D299" s="6"/>
    </row>
    <row r="300" customFormat="false" ht="15" hidden="false" customHeight="false" outlineLevel="0" collapsed="false">
      <c r="A300" s="5"/>
      <c r="B300" s="6"/>
      <c r="C300" s="6"/>
      <c r="D300" s="6"/>
    </row>
    <row r="301" customFormat="false" ht="15" hidden="false" customHeight="false" outlineLevel="0" collapsed="false">
      <c r="A301" s="5"/>
      <c r="B301" s="6"/>
      <c r="C301" s="6"/>
      <c r="D301" s="6"/>
    </row>
    <row r="302" customFormat="false" ht="15" hidden="false" customHeight="false" outlineLevel="0" collapsed="false">
      <c r="A302" s="5"/>
      <c r="B302" s="6"/>
      <c r="C302" s="6"/>
      <c r="D302" s="6"/>
    </row>
    <row r="303" customFormat="false" ht="15" hidden="false" customHeight="false" outlineLevel="0" collapsed="false">
      <c r="A303" s="5"/>
      <c r="B303" s="6"/>
      <c r="C303" s="6"/>
      <c r="D303" s="6"/>
    </row>
    <row r="304" customFormat="false" ht="15" hidden="false" customHeight="false" outlineLevel="0" collapsed="false">
      <c r="A304" s="5"/>
      <c r="B304" s="6"/>
      <c r="C304" s="6"/>
      <c r="D304" s="6"/>
    </row>
    <row r="305" customFormat="false" ht="15" hidden="false" customHeight="false" outlineLevel="0" collapsed="false">
      <c r="A305" s="5"/>
      <c r="B305" s="6"/>
      <c r="C305" s="6"/>
      <c r="D305" s="6"/>
    </row>
    <row r="306" customFormat="false" ht="15" hidden="false" customHeight="false" outlineLevel="0" collapsed="false">
      <c r="A306" s="5"/>
      <c r="B306" s="6"/>
      <c r="C306" s="6"/>
      <c r="D306" s="6"/>
    </row>
    <row r="307" customFormat="false" ht="15" hidden="false" customHeight="false" outlineLevel="0" collapsed="false">
      <c r="A307" s="5"/>
      <c r="B307" s="6"/>
      <c r="C307" s="6"/>
      <c r="D307" s="6"/>
    </row>
    <row r="308" customFormat="false" ht="15" hidden="false" customHeight="false" outlineLevel="0" collapsed="false">
      <c r="A308" s="5"/>
      <c r="B308" s="6"/>
      <c r="C308" s="6"/>
      <c r="D308" s="6"/>
    </row>
    <row r="309" customFormat="false" ht="15" hidden="false" customHeight="false" outlineLevel="0" collapsed="false">
      <c r="A309" s="5"/>
      <c r="B309" s="6"/>
      <c r="C309" s="6"/>
      <c r="D309" s="6"/>
    </row>
    <row r="310" customFormat="false" ht="15" hidden="false" customHeight="false" outlineLevel="0" collapsed="false">
      <c r="A310" s="5"/>
      <c r="B310" s="6"/>
      <c r="C310" s="6"/>
      <c r="D310" s="6"/>
    </row>
    <row r="311" customFormat="false" ht="15" hidden="false" customHeight="false" outlineLevel="0" collapsed="false">
      <c r="A311" s="5"/>
      <c r="B311" s="6"/>
      <c r="C311" s="6"/>
      <c r="D311" s="6"/>
    </row>
    <row r="312" customFormat="false" ht="15" hidden="false" customHeight="false" outlineLevel="0" collapsed="false">
      <c r="A312" s="5"/>
      <c r="B312" s="6"/>
      <c r="C312" s="6"/>
      <c r="D312" s="6"/>
    </row>
    <row r="313" customFormat="false" ht="15" hidden="false" customHeight="false" outlineLevel="0" collapsed="false">
      <c r="A313" s="5"/>
      <c r="B313" s="6"/>
      <c r="C313" s="6"/>
      <c r="D313" s="6"/>
    </row>
    <row r="314" customFormat="false" ht="15" hidden="false" customHeight="false" outlineLevel="0" collapsed="false">
      <c r="A314" s="5"/>
      <c r="B314" s="6"/>
      <c r="C314" s="6"/>
      <c r="D314" s="6"/>
    </row>
    <row r="315" customFormat="false" ht="15" hidden="false" customHeight="false" outlineLevel="0" collapsed="false">
      <c r="A315" s="5"/>
      <c r="B315" s="6"/>
      <c r="C315" s="6"/>
      <c r="D315" s="6"/>
    </row>
    <row r="316" customFormat="false" ht="15" hidden="false" customHeight="false" outlineLevel="0" collapsed="false">
      <c r="A316" s="5"/>
      <c r="B316" s="6"/>
      <c r="C316" s="6"/>
      <c r="D316" s="6"/>
    </row>
    <row r="317" customFormat="false" ht="15" hidden="false" customHeight="false" outlineLevel="0" collapsed="false">
      <c r="A317" s="5"/>
      <c r="B317" s="6"/>
      <c r="C317" s="6"/>
      <c r="D317" s="6"/>
    </row>
    <row r="318" customFormat="false" ht="15" hidden="false" customHeight="false" outlineLevel="0" collapsed="false">
      <c r="A318" s="5"/>
      <c r="B318" s="6"/>
      <c r="C318" s="6"/>
      <c r="D318" s="6"/>
    </row>
    <row r="319" customFormat="false" ht="15" hidden="false" customHeight="false" outlineLevel="0" collapsed="false">
      <c r="A319" s="5"/>
      <c r="B319" s="6"/>
      <c r="C319" s="6"/>
      <c r="D319" s="6"/>
    </row>
    <row r="320" customFormat="false" ht="15" hidden="false" customHeight="false" outlineLevel="0" collapsed="false">
      <c r="A320" s="5"/>
      <c r="B320" s="6"/>
      <c r="C320" s="6"/>
      <c r="D320" s="6"/>
    </row>
    <row r="321" customFormat="false" ht="15" hidden="false" customHeight="false" outlineLevel="0" collapsed="false">
      <c r="A321" s="5"/>
      <c r="B321" s="6"/>
      <c r="C321" s="6"/>
      <c r="D321" s="6"/>
    </row>
    <row r="322" customFormat="false" ht="15" hidden="false" customHeight="false" outlineLevel="0" collapsed="false">
      <c r="A322" s="5"/>
      <c r="B322" s="6"/>
      <c r="C322" s="6"/>
      <c r="D322" s="6"/>
    </row>
    <row r="323" customFormat="false" ht="15" hidden="false" customHeight="false" outlineLevel="0" collapsed="false">
      <c r="A323" s="5"/>
      <c r="B323" s="6"/>
      <c r="C323" s="6"/>
      <c r="D323" s="6"/>
    </row>
    <row r="324" customFormat="false" ht="15" hidden="false" customHeight="false" outlineLevel="0" collapsed="false">
      <c r="A324" s="5"/>
      <c r="B324" s="6"/>
      <c r="C324" s="6"/>
      <c r="D324" s="6"/>
    </row>
    <row r="325" customFormat="false" ht="15" hidden="false" customHeight="false" outlineLevel="0" collapsed="false">
      <c r="A325" s="5"/>
      <c r="B325" s="6"/>
      <c r="C325" s="6"/>
      <c r="D325" s="6"/>
    </row>
    <row r="326" customFormat="false" ht="15" hidden="false" customHeight="false" outlineLevel="0" collapsed="false">
      <c r="A326" s="5"/>
      <c r="B326" s="6"/>
      <c r="C326" s="6"/>
      <c r="D326" s="6"/>
    </row>
    <row r="327" customFormat="false" ht="15" hidden="false" customHeight="false" outlineLevel="0" collapsed="false">
      <c r="A327" s="5"/>
      <c r="B327" s="6"/>
      <c r="C327" s="6"/>
      <c r="D327" s="6"/>
    </row>
    <row r="328" customFormat="false" ht="15" hidden="false" customHeight="false" outlineLevel="0" collapsed="false">
      <c r="A328" s="5"/>
      <c r="B328" s="6"/>
      <c r="C328" s="6"/>
      <c r="D328" s="6"/>
    </row>
    <row r="329" customFormat="false" ht="15" hidden="false" customHeight="false" outlineLevel="0" collapsed="false">
      <c r="A329" s="5"/>
      <c r="B329" s="6"/>
      <c r="C329" s="6"/>
      <c r="D329" s="6"/>
    </row>
    <row r="330" customFormat="false" ht="15" hidden="false" customHeight="false" outlineLevel="0" collapsed="false">
      <c r="A330" s="5"/>
      <c r="B330" s="6"/>
      <c r="C330" s="6"/>
      <c r="D330" s="6"/>
    </row>
    <row r="331" customFormat="false" ht="15" hidden="false" customHeight="false" outlineLevel="0" collapsed="false">
      <c r="A331" s="5"/>
      <c r="B331" s="6"/>
      <c r="C331" s="6"/>
      <c r="D331" s="6"/>
    </row>
    <row r="332" customFormat="false" ht="15" hidden="false" customHeight="false" outlineLevel="0" collapsed="false">
      <c r="A332" s="5"/>
      <c r="B332" s="6"/>
      <c r="C332" s="6"/>
      <c r="D332" s="6"/>
    </row>
    <row r="333" customFormat="false" ht="15" hidden="false" customHeight="false" outlineLevel="0" collapsed="false">
      <c r="A333" s="5"/>
      <c r="B333" s="6"/>
      <c r="C333" s="6"/>
      <c r="D333" s="6"/>
    </row>
    <row r="334" customFormat="false" ht="15" hidden="false" customHeight="false" outlineLevel="0" collapsed="false">
      <c r="A334" s="5"/>
      <c r="B334" s="6"/>
      <c r="C334" s="6"/>
      <c r="D334" s="6"/>
    </row>
    <row r="335" customFormat="false" ht="15" hidden="false" customHeight="false" outlineLevel="0" collapsed="false">
      <c r="A335" s="5"/>
      <c r="B335" s="6"/>
      <c r="C335" s="6"/>
      <c r="D335" s="6"/>
    </row>
    <row r="336" customFormat="false" ht="15" hidden="false" customHeight="false" outlineLevel="0" collapsed="false">
      <c r="A336" s="5"/>
      <c r="B336" s="6"/>
      <c r="C336" s="6"/>
      <c r="D336" s="6"/>
    </row>
    <row r="337" customFormat="false" ht="15" hidden="false" customHeight="false" outlineLevel="0" collapsed="false">
      <c r="A337" s="5"/>
      <c r="B337" s="6"/>
      <c r="C337" s="6"/>
      <c r="D337" s="6"/>
    </row>
    <row r="338" customFormat="false" ht="15" hidden="false" customHeight="false" outlineLevel="0" collapsed="false">
      <c r="A338" s="5"/>
      <c r="B338" s="6"/>
      <c r="C338" s="6"/>
      <c r="D338" s="6"/>
    </row>
    <row r="339" customFormat="false" ht="15" hidden="false" customHeight="false" outlineLevel="0" collapsed="false">
      <c r="A339" s="5"/>
      <c r="B339" s="6"/>
      <c r="C339" s="6"/>
      <c r="D339" s="6"/>
    </row>
    <row r="340" customFormat="false" ht="15" hidden="false" customHeight="false" outlineLevel="0" collapsed="false">
      <c r="A340" s="5"/>
      <c r="B340" s="6"/>
      <c r="C340" s="6"/>
      <c r="D340" s="6"/>
    </row>
    <row r="341" customFormat="false" ht="15" hidden="false" customHeight="false" outlineLevel="0" collapsed="false">
      <c r="A341" s="5"/>
      <c r="B341" s="6"/>
      <c r="C341" s="6"/>
      <c r="D341" s="6"/>
    </row>
    <row r="342" customFormat="false" ht="15" hidden="false" customHeight="false" outlineLevel="0" collapsed="false">
      <c r="A342" s="5"/>
      <c r="B342" s="6"/>
      <c r="C342" s="6"/>
      <c r="D342" s="6"/>
    </row>
    <row r="343" customFormat="false" ht="15" hidden="false" customHeight="false" outlineLevel="0" collapsed="false">
      <c r="A343" s="5"/>
      <c r="B343" s="6"/>
      <c r="C343" s="6"/>
      <c r="D343" s="6"/>
    </row>
    <row r="344" customFormat="false" ht="15" hidden="false" customHeight="false" outlineLevel="0" collapsed="false">
      <c r="A344" s="5"/>
      <c r="B344" s="6"/>
      <c r="C344" s="6"/>
      <c r="D344" s="6"/>
    </row>
    <row r="345" customFormat="false" ht="15" hidden="false" customHeight="false" outlineLevel="0" collapsed="false">
      <c r="A345" s="5"/>
      <c r="B345" s="6"/>
      <c r="C345" s="6"/>
      <c r="D345" s="6"/>
    </row>
    <row r="346" customFormat="false" ht="15" hidden="false" customHeight="false" outlineLevel="0" collapsed="false">
      <c r="A346" s="5"/>
      <c r="B346" s="6"/>
      <c r="C346" s="6"/>
      <c r="D346" s="6"/>
    </row>
    <row r="347" customFormat="false" ht="15" hidden="false" customHeight="false" outlineLevel="0" collapsed="false">
      <c r="A347" s="5"/>
      <c r="B347" s="6"/>
      <c r="C347" s="6"/>
      <c r="D347" s="6"/>
    </row>
    <row r="348" customFormat="false" ht="15" hidden="false" customHeight="false" outlineLevel="0" collapsed="false">
      <c r="A348" s="5"/>
      <c r="B348" s="6"/>
      <c r="C348" s="6"/>
      <c r="D348" s="6"/>
    </row>
    <row r="349" customFormat="false" ht="15" hidden="false" customHeight="false" outlineLevel="0" collapsed="false">
      <c r="A349" s="5"/>
      <c r="B349" s="6"/>
      <c r="C349" s="6"/>
      <c r="D349" s="6"/>
    </row>
    <row r="350" customFormat="false" ht="15" hidden="false" customHeight="false" outlineLevel="0" collapsed="false">
      <c r="A350" s="5"/>
      <c r="B350" s="6"/>
      <c r="C350" s="6"/>
      <c r="D350" s="6"/>
    </row>
    <row r="351" customFormat="false" ht="15" hidden="false" customHeight="false" outlineLevel="0" collapsed="false">
      <c r="A351" s="5"/>
      <c r="B351" s="6"/>
      <c r="C351" s="6"/>
      <c r="D351" s="6"/>
    </row>
    <row r="352" customFormat="false" ht="15" hidden="false" customHeight="false" outlineLevel="0" collapsed="false">
      <c r="A352" s="5"/>
      <c r="B352" s="6"/>
      <c r="C352" s="6"/>
      <c r="D352" s="6"/>
    </row>
    <row r="353" customFormat="false" ht="15" hidden="false" customHeight="false" outlineLevel="0" collapsed="false">
      <c r="A353" s="5"/>
      <c r="B353" s="6"/>
      <c r="C353" s="6"/>
      <c r="D353" s="6"/>
    </row>
    <row r="354" customFormat="false" ht="15" hidden="false" customHeight="false" outlineLevel="0" collapsed="false">
      <c r="A354" s="5"/>
      <c r="B354" s="6"/>
      <c r="C354" s="6"/>
      <c r="D354" s="6"/>
    </row>
    <row r="355" customFormat="false" ht="15" hidden="false" customHeight="false" outlineLevel="0" collapsed="false">
      <c r="A355" s="5"/>
      <c r="B355" s="6"/>
      <c r="C355" s="6"/>
      <c r="D355" s="6"/>
    </row>
    <row r="356" customFormat="false" ht="15" hidden="false" customHeight="false" outlineLevel="0" collapsed="false">
      <c r="A356" s="5"/>
      <c r="B356" s="6"/>
      <c r="C356" s="6"/>
      <c r="D356" s="6"/>
    </row>
    <row r="357" customFormat="false" ht="15" hidden="false" customHeight="false" outlineLevel="0" collapsed="false">
      <c r="A357" s="5"/>
      <c r="B357" s="6"/>
      <c r="C357" s="6"/>
      <c r="D357" s="6"/>
    </row>
    <row r="358" customFormat="false" ht="15" hidden="false" customHeight="false" outlineLevel="0" collapsed="false">
      <c r="A358" s="5"/>
      <c r="B358" s="6"/>
      <c r="C358" s="6"/>
      <c r="D358" s="6"/>
    </row>
    <row r="359" customFormat="false" ht="15" hidden="false" customHeight="false" outlineLevel="0" collapsed="false">
      <c r="A359" s="5"/>
      <c r="B359" s="6"/>
      <c r="C359" s="6"/>
      <c r="D359" s="6"/>
    </row>
    <row r="360" customFormat="false" ht="15" hidden="false" customHeight="false" outlineLevel="0" collapsed="false">
      <c r="A360" s="5"/>
      <c r="B360" s="6"/>
      <c r="C360" s="6"/>
      <c r="D360" s="6"/>
    </row>
    <row r="361" customFormat="false" ht="15" hidden="false" customHeight="false" outlineLevel="0" collapsed="false">
      <c r="A361" s="5"/>
      <c r="B361" s="6"/>
      <c r="C361" s="6"/>
      <c r="D361" s="6"/>
    </row>
    <row r="362" customFormat="false" ht="15" hidden="false" customHeight="false" outlineLevel="0" collapsed="false">
      <c r="A362" s="5"/>
      <c r="B362" s="6"/>
      <c r="C362" s="6"/>
      <c r="D362" s="6"/>
    </row>
    <row r="363" customFormat="false" ht="15" hidden="false" customHeight="false" outlineLevel="0" collapsed="false">
      <c r="A363" s="5"/>
      <c r="B363" s="6"/>
      <c r="C363" s="6"/>
      <c r="D363" s="6"/>
    </row>
    <row r="364" customFormat="false" ht="15" hidden="false" customHeight="false" outlineLevel="0" collapsed="false">
      <c r="A364" s="5"/>
      <c r="B364" s="6"/>
      <c r="C364" s="6"/>
      <c r="D364" s="6"/>
    </row>
    <row r="365" customFormat="false" ht="15" hidden="false" customHeight="false" outlineLevel="0" collapsed="false">
      <c r="A365" s="5"/>
      <c r="B365" s="6"/>
      <c r="C365" s="6"/>
      <c r="D365" s="6"/>
    </row>
    <row r="366" customFormat="false" ht="15" hidden="false" customHeight="false" outlineLevel="0" collapsed="false">
      <c r="A366" s="5"/>
      <c r="B366" s="6"/>
      <c r="C366" s="6"/>
      <c r="D366" s="6"/>
    </row>
    <row r="367" customFormat="false" ht="15" hidden="false" customHeight="false" outlineLevel="0" collapsed="false">
      <c r="A367" s="5"/>
      <c r="B367" s="6"/>
      <c r="C367" s="6"/>
      <c r="D367" s="6"/>
    </row>
    <row r="368" customFormat="false" ht="15" hidden="false" customHeight="false" outlineLevel="0" collapsed="false">
      <c r="A368" s="5"/>
      <c r="B368" s="6"/>
      <c r="C368" s="6"/>
      <c r="D368" s="6"/>
    </row>
    <row r="369" customFormat="false" ht="15" hidden="false" customHeight="false" outlineLevel="0" collapsed="false">
      <c r="A369" s="5"/>
      <c r="B369" s="6"/>
      <c r="C369" s="6"/>
      <c r="D369" s="6"/>
    </row>
    <row r="370" customFormat="false" ht="15" hidden="false" customHeight="false" outlineLevel="0" collapsed="false">
      <c r="A370" s="5"/>
      <c r="B370" s="6"/>
      <c r="C370" s="6"/>
      <c r="D370" s="6"/>
    </row>
    <row r="371" customFormat="false" ht="15" hidden="false" customHeight="false" outlineLevel="0" collapsed="false">
      <c r="A371" s="5"/>
      <c r="B371" s="6"/>
      <c r="C371" s="6"/>
      <c r="D371" s="6"/>
    </row>
    <row r="372" customFormat="false" ht="15" hidden="false" customHeight="false" outlineLevel="0" collapsed="false">
      <c r="A372" s="5"/>
      <c r="B372" s="6"/>
      <c r="C372" s="6"/>
      <c r="D372" s="6"/>
    </row>
    <row r="373" customFormat="false" ht="15" hidden="false" customHeight="false" outlineLevel="0" collapsed="false">
      <c r="A373" s="5"/>
      <c r="B373" s="6"/>
      <c r="C373" s="6"/>
      <c r="D373" s="6"/>
    </row>
    <row r="374" customFormat="false" ht="15" hidden="false" customHeight="false" outlineLevel="0" collapsed="false">
      <c r="A374" s="5"/>
      <c r="B374" s="6"/>
      <c r="C374" s="6"/>
      <c r="D374" s="6"/>
    </row>
    <row r="375" customFormat="false" ht="15" hidden="false" customHeight="false" outlineLevel="0" collapsed="false">
      <c r="A375" s="5"/>
      <c r="B375" s="6"/>
      <c r="C375" s="6"/>
      <c r="D375" s="6"/>
    </row>
    <row r="376" customFormat="false" ht="15" hidden="false" customHeight="false" outlineLevel="0" collapsed="false">
      <c r="A376" s="5"/>
      <c r="B376" s="6"/>
      <c r="C376" s="6"/>
      <c r="D376" s="6"/>
    </row>
    <row r="377" customFormat="false" ht="15" hidden="false" customHeight="false" outlineLevel="0" collapsed="false">
      <c r="A377" s="5"/>
      <c r="B377" s="6"/>
      <c r="C377" s="6"/>
      <c r="D377" s="6"/>
    </row>
    <row r="378" customFormat="false" ht="15" hidden="false" customHeight="false" outlineLevel="0" collapsed="false">
      <c r="A378" s="5"/>
      <c r="B378" s="6"/>
      <c r="C378" s="6"/>
      <c r="D378" s="6"/>
    </row>
    <row r="379" customFormat="false" ht="15" hidden="false" customHeight="false" outlineLevel="0" collapsed="false">
      <c r="A379" s="5"/>
      <c r="B379" s="6"/>
      <c r="C379" s="6"/>
      <c r="D379" s="6"/>
    </row>
    <row r="380" customFormat="false" ht="15" hidden="false" customHeight="false" outlineLevel="0" collapsed="false">
      <c r="A380" s="5"/>
      <c r="B380" s="6"/>
      <c r="C380" s="6"/>
      <c r="D380" s="6"/>
    </row>
    <row r="381" customFormat="false" ht="15" hidden="false" customHeight="false" outlineLevel="0" collapsed="false">
      <c r="A381" s="5"/>
      <c r="B381" s="6"/>
      <c r="C381" s="6"/>
      <c r="D381" s="6"/>
    </row>
    <row r="382" customFormat="false" ht="15" hidden="false" customHeight="false" outlineLevel="0" collapsed="false">
      <c r="A382" s="5"/>
      <c r="B382" s="6"/>
      <c r="C382" s="6"/>
      <c r="D382" s="6"/>
    </row>
    <row r="383" customFormat="false" ht="15" hidden="false" customHeight="false" outlineLevel="0" collapsed="false">
      <c r="A383" s="5"/>
      <c r="B383" s="6"/>
      <c r="C383" s="6"/>
      <c r="D383" s="6"/>
    </row>
    <row r="384" customFormat="false" ht="15" hidden="false" customHeight="false" outlineLevel="0" collapsed="false">
      <c r="A384" s="5"/>
      <c r="B384" s="6"/>
      <c r="C384" s="6"/>
      <c r="D384" s="6"/>
    </row>
    <row r="385" customFormat="false" ht="15" hidden="false" customHeight="false" outlineLevel="0" collapsed="false">
      <c r="A385" s="5"/>
      <c r="B385" s="6"/>
      <c r="C385" s="6"/>
      <c r="D385" s="6"/>
    </row>
    <row r="386" customFormat="false" ht="15" hidden="false" customHeight="false" outlineLevel="0" collapsed="false">
      <c r="A386" s="5"/>
      <c r="B386" s="6"/>
      <c r="C386" s="6"/>
      <c r="D386" s="6"/>
    </row>
    <row r="387" customFormat="false" ht="15" hidden="false" customHeight="false" outlineLevel="0" collapsed="false">
      <c r="A387" s="5"/>
      <c r="B387" s="6"/>
      <c r="C387" s="6"/>
      <c r="D387" s="6"/>
    </row>
    <row r="388" customFormat="false" ht="15" hidden="false" customHeight="false" outlineLevel="0" collapsed="false">
      <c r="A388" s="5"/>
      <c r="B388" s="6"/>
      <c r="C388" s="6"/>
      <c r="D388" s="6"/>
    </row>
    <row r="389" customFormat="false" ht="15" hidden="false" customHeight="false" outlineLevel="0" collapsed="false">
      <c r="A389" s="5"/>
      <c r="B389" s="6"/>
      <c r="C389" s="6"/>
      <c r="D389" s="6"/>
    </row>
    <row r="390" customFormat="false" ht="15" hidden="false" customHeight="false" outlineLevel="0" collapsed="false">
      <c r="A390" s="5"/>
      <c r="B390" s="6"/>
      <c r="C390" s="6"/>
      <c r="D390" s="6"/>
    </row>
    <row r="391" customFormat="false" ht="15" hidden="false" customHeight="false" outlineLevel="0" collapsed="false">
      <c r="A391" s="5"/>
      <c r="B391" s="6"/>
      <c r="C391" s="6"/>
      <c r="D391" s="6"/>
    </row>
    <row r="392" customFormat="false" ht="15" hidden="false" customHeight="false" outlineLevel="0" collapsed="false">
      <c r="A392" s="5"/>
      <c r="B392" s="6"/>
      <c r="C392" s="6"/>
      <c r="D392" s="6"/>
    </row>
    <row r="393" customFormat="false" ht="15" hidden="false" customHeight="false" outlineLevel="0" collapsed="false">
      <c r="A393" s="5"/>
      <c r="B393" s="6"/>
      <c r="C393" s="6"/>
      <c r="D393" s="6"/>
    </row>
    <row r="394" customFormat="false" ht="15" hidden="false" customHeight="false" outlineLevel="0" collapsed="false">
      <c r="A394" s="5"/>
      <c r="B394" s="6"/>
      <c r="C394" s="6"/>
      <c r="D394" s="6"/>
    </row>
    <row r="395" customFormat="false" ht="15" hidden="false" customHeight="false" outlineLevel="0" collapsed="false">
      <c r="A395" s="5"/>
      <c r="B395" s="6"/>
      <c r="C395" s="6"/>
      <c r="D395" s="6"/>
    </row>
    <row r="396" customFormat="false" ht="15" hidden="false" customHeight="false" outlineLevel="0" collapsed="false">
      <c r="A396" s="5"/>
      <c r="B396" s="6"/>
      <c r="C396" s="6"/>
      <c r="D396" s="6"/>
    </row>
    <row r="397" customFormat="false" ht="15" hidden="false" customHeight="false" outlineLevel="0" collapsed="false">
      <c r="A397" s="5"/>
      <c r="B397" s="6"/>
      <c r="C397" s="6"/>
      <c r="D397" s="6"/>
    </row>
    <row r="398" customFormat="false" ht="15" hidden="false" customHeight="false" outlineLevel="0" collapsed="false">
      <c r="A398" s="5"/>
      <c r="B398" s="6"/>
      <c r="C398" s="6"/>
      <c r="D398" s="6"/>
    </row>
    <row r="399" customFormat="false" ht="15" hidden="false" customHeight="false" outlineLevel="0" collapsed="false">
      <c r="A399" s="5"/>
      <c r="B399" s="6"/>
      <c r="C399" s="6"/>
      <c r="D399" s="6"/>
    </row>
    <row r="400" customFormat="false" ht="15" hidden="false" customHeight="false" outlineLevel="0" collapsed="false">
      <c r="A400" s="5"/>
      <c r="B400" s="6"/>
      <c r="C400" s="6"/>
      <c r="D400" s="6"/>
    </row>
    <row r="401" customFormat="false" ht="15" hidden="false" customHeight="false" outlineLevel="0" collapsed="false">
      <c r="A401" s="5"/>
      <c r="B401" s="6"/>
      <c r="C401" s="6"/>
      <c r="D401" s="6"/>
    </row>
    <row r="402" customFormat="false" ht="15" hidden="false" customHeight="false" outlineLevel="0" collapsed="false">
      <c r="A402" s="5"/>
      <c r="B402" s="6"/>
      <c r="C402" s="6"/>
      <c r="D402" s="6"/>
    </row>
    <row r="403" customFormat="false" ht="15" hidden="false" customHeight="false" outlineLevel="0" collapsed="false">
      <c r="A403" s="5"/>
      <c r="B403" s="6"/>
      <c r="C403" s="6"/>
      <c r="D403" s="6"/>
    </row>
    <row r="404" customFormat="false" ht="15" hidden="false" customHeight="false" outlineLevel="0" collapsed="false">
      <c r="A404" s="5"/>
      <c r="B404" s="6"/>
      <c r="C404" s="6"/>
      <c r="D404" s="6"/>
    </row>
    <row r="405" customFormat="false" ht="15" hidden="false" customHeight="false" outlineLevel="0" collapsed="false">
      <c r="A405" s="5"/>
      <c r="B405" s="6"/>
      <c r="C405" s="6"/>
      <c r="D405" s="6"/>
    </row>
    <row r="406" customFormat="false" ht="15" hidden="false" customHeight="false" outlineLevel="0" collapsed="false">
      <c r="A406" s="5"/>
      <c r="B406" s="6"/>
      <c r="C406" s="6"/>
      <c r="D406" s="6"/>
    </row>
    <row r="407" customFormat="false" ht="15" hidden="false" customHeight="false" outlineLevel="0" collapsed="false">
      <c r="A407" s="5"/>
      <c r="B407" s="6"/>
      <c r="C407" s="6"/>
      <c r="D407" s="6"/>
    </row>
    <row r="408" customFormat="false" ht="15" hidden="false" customHeight="false" outlineLevel="0" collapsed="false">
      <c r="A408" s="5"/>
      <c r="B408" s="6"/>
      <c r="C408" s="6"/>
      <c r="D408" s="6"/>
    </row>
    <row r="409" customFormat="false" ht="15" hidden="false" customHeight="false" outlineLevel="0" collapsed="false">
      <c r="A409" s="5"/>
      <c r="B409" s="6"/>
      <c r="C409" s="6"/>
      <c r="D409" s="6"/>
    </row>
    <row r="410" customFormat="false" ht="15" hidden="false" customHeight="false" outlineLevel="0" collapsed="false">
      <c r="A410" s="5"/>
      <c r="B410" s="6"/>
      <c r="C410" s="6"/>
      <c r="D410" s="6"/>
    </row>
    <row r="411" customFormat="false" ht="15" hidden="false" customHeight="false" outlineLevel="0" collapsed="false">
      <c r="A411" s="5"/>
      <c r="B411" s="6"/>
      <c r="C411" s="6"/>
      <c r="D411" s="6"/>
    </row>
    <row r="412" customFormat="false" ht="15" hidden="false" customHeight="false" outlineLevel="0" collapsed="false">
      <c r="A412" s="5"/>
      <c r="B412" s="6"/>
      <c r="C412" s="6"/>
      <c r="D412" s="6"/>
    </row>
    <row r="413" customFormat="false" ht="15" hidden="false" customHeight="false" outlineLevel="0" collapsed="false">
      <c r="A413" s="5"/>
      <c r="B413" s="6"/>
      <c r="C413" s="6"/>
      <c r="D413" s="6"/>
    </row>
    <row r="414" customFormat="false" ht="15" hidden="false" customHeight="false" outlineLevel="0" collapsed="false">
      <c r="A414" s="5"/>
      <c r="B414" s="6"/>
      <c r="C414" s="6"/>
      <c r="D414" s="6"/>
    </row>
    <row r="415" customFormat="false" ht="15" hidden="false" customHeight="false" outlineLevel="0" collapsed="false">
      <c r="A415" s="5"/>
      <c r="B415" s="6"/>
      <c r="C415" s="6"/>
      <c r="D415" s="6"/>
    </row>
    <row r="416" customFormat="false" ht="15" hidden="false" customHeight="false" outlineLevel="0" collapsed="false">
      <c r="A416" s="5"/>
      <c r="B416" s="6"/>
      <c r="C416" s="6"/>
      <c r="D416" s="6"/>
    </row>
    <row r="417" customFormat="false" ht="15" hidden="false" customHeight="false" outlineLevel="0" collapsed="false">
      <c r="A417" s="5"/>
      <c r="B417" s="6"/>
      <c r="C417" s="6"/>
      <c r="D417" s="6"/>
    </row>
    <row r="418" customFormat="false" ht="15" hidden="false" customHeight="false" outlineLevel="0" collapsed="false">
      <c r="A418" s="5"/>
      <c r="B418" s="6"/>
      <c r="C418" s="6"/>
      <c r="D418" s="6"/>
    </row>
    <row r="419" customFormat="false" ht="15" hidden="false" customHeight="false" outlineLevel="0" collapsed="false">
      <c r="A419" s="5"/>
      <c r="B419" s="6"/>
      <c r="C419" s="6"/>
      <c r="D419" s="6"/>
    </row>
    <row r="420" customFormat="false" ht="15" hidden="false" customHeight="false" outlineLevel="0" collapsed="false">
      <c r="A420" s="5"/>
      <c r="B420" s="6"/>
      <c r="C420" s="6"/>
      <c r="D420" s="6"/>
    </row>
    <row r="421" customFormat="false" ht="15" hidden="false" customHeight="false" outlineLevel="0" collapsed="false">
      <c r="A421" s="5"/>
      <c r="B421" s="6"/>
      <c r="C421" s="6"/>
      <c r="D421" s="6"/>
    </row>
    <row r="422" customFormat="false" ht="15" hidden="false" customHeight="false" outlineLevel="0" collapsed="false">
      <c r="A422" s="5"/>
      <c r="B422" s="6"/>
      <c r="C422" s="6"/>
      <c r="D422" s="6"/>
    </row>
    <row r="423" customFormat="false" ht="15" hidden="false" customHeight="false" outlineLevel="0" collapsed="false">
      <c r="A423" s="5"/>
      <c r="B423" s="6"/>
      <c r="C423" s="6"/>
      <c r="D423" s="6"/>
    </row>
    <row r="424" customFormat="false" ht="15" hidden="false" customHeight="false" outlineLevel="0" collapsed="false">
      <c r="A424" s="5"/>
      <c r="B424" s="6"/>
      <c r="C424" s="6"/>
      <c r="D424" s="6"/>
    </row>
    <row r="425" customFormat="false" ht="15" hidden="false" customHeight="false" outlineLevel="0" collapsed="false">
      <c r="A425" s="5"/>
      <c r="B425" s="6"/>
      <c r="C425" s="6"/>
      <c r="D425" s="6"/>
    </row>
    <row r="426" customFormat="false" ht="15" hidden="false" customHeight="false" outlineLevel="0" collapsed="false">
      <c r="A426" s="5"/>
      <c r="B426" s="6"/>
      <c r="C426" s="6"/>
      <c r="D426" s="6"/>
    </row>
    <row r="427" customFormat="false" ht="15" hidden="false" customHeight="false" outlineLevel="0" collapsed="false">
      <c r="A427" s="5"/>
      <c r="B427" s="6"/>
      <c r="C427" s="6"/>
      <c r="D427" s="6"/>
    </row>
    <row r="428" customFormat="false" ht="15" hidden="false" customHeight="false" outlineLevel="0" collapsed="false">
      <c r="A428" s="5"/>
      <c r="B428" s="6"/>
      <c r="C428" s="6"/>
      <c r="D428" s="6"/>
    </row>
    <row r="429" customFormat="false" ht="15" hidden="false" customHeight="false" outlineLevel="0" collapsed="false">
      <c r="A429" s="5"/>
      <c r="B429" s="6"/>
      <c r="C429" s="6"/>
      <c r="D429" s="6"/>
    </row>
    <row r="430" customFormat="false" ht="15" hidden="false" customHeight="false" outlineLevel="0" collapsed="false">
      <c r="A430" s="5"/>
      <c r="B430" s="6"/>
      <c r="C430" s="6"/>
      <c r="D430" s="6"/>
    </row>
    <row r="431" customFormat="false" ht="15" hidden="false" customHeight="false" outlineLevel="0" collapsed="false">
      <c r="A431" s="5"/>
      <c r="B431" s="6"/>
      <c r="C431" s="6"/>
      <c r="D431" s="6"/>
    </row>
    <row r="432" customFormat="false" ht="15" hidden="false" customHeight="false" outlineLevel="0" collapsed="false">
      <c r="A432" s="5"/>
      <c r="B432" s="6"/>
      <c r="C432" s="6"/>
      <c r="D432" s="6"/>
    </row>
    <row r="433" customFormat="false" ht="15" hidden="false" customHeight="false" outlineLevel="0" collapsed="false">
      <c r="A433" s="5"/>
      <c r="B433" s="6"/>
      <c r="C433" s="6"/>
      <c r="D433" s="6"/>
    </row>
    <row r="434" customFormat="false" ht="15" hidden="false" customHeight="false" outlineLevel="0" collapsed="false">
      <c r="A434" s="5"/>
      <c r="B434" s="6"/>
      <c r="C434" s="6"/>
      <c r="D434" s="6"/>
    </row>
    <row r="435" customFormat="false" ht="15" hidden="false" customHeight="false" outlineLevel="0" collapsed="false">
      <c r="A435" s="5"/>
      <c r="B435" s="6"/>
      <c r="C435" s="6"/>
      <c r="D435" s="6"/>
    </row>
    <row r="436" customFormat="false" ht="15" hidden="false" customHeight="false" outlineLevel="0" collapsed="false">
      <c r="A436" s="5"/>
      <c r="B436" s="6"/>
      <c r="C436" s="6"/>
      <c r="D436" s="6"/>
    </row>
    <row r="437" customFormat="false" ht="15" hidden="false" customHeight="false" outlineLevel="0" collapsed="false">
      <c r="A437" s="5"/>
      <c r="B437" s="6"/>
      <c r="C437" s="6"/>
      <c r="D437" s="6"/>
    </row>
    <row r="438" customFormat="false" ht="15" hidden="false" customHeight="false" outlineLevel="0" collapsed="false">
      <c r="A438" s="5"/>
      <c r="B438" s="6"/>
      <c r="C438" s="6"/>
      <c r="D438" s="6"/>
    </row>
    <row r="439" customFormat="false" ht="15" hidden="false" customHeight="false" outlineLevel="0" collapsed="false">
      <c r="A439" s="5"/>
      <c r="B439" s="6"/>
      <c r="C439" s="6"/>
      <c r="D439" s="6"/>
    </row>
    <row r="440" customFormat="false" ht="15" hidden="false" customHeight="false" outlineLevel="0" collapsed="false">
      <c r="A440" s="5"/>
      <c r="B440" s="6"/>
      <c r="C440" s="6"/>
      <c r="D440" s="6"/>
    </row>
    <row r="441" customFormat="false" ht="15" hidden="false" customHeight="false" outlineLevel="0" collapsed="false">
      <c r="A441" s="5"/>
      <c r="B441" s="6"/>
      <c r="C441" s="6"/>
      <c r="D441" s="6"/>
    </row>
    <row r="442" customFormat="false" ht="15" hidden="false" customHeight="false" outlineLevel="0" collapsed="false">
      <c r="A442" s="5"/>
      <c r="B442" s="6"/>
      <c r="C442" s="6"/>
      <c r="D442" s="6"/>
    </row>
    <row r="443" customFormat="false" ht="15" hidden="false" customHeight="false" outlineLevel="0" collapsed="false">
      <c r="A443" s="5"/>
      <c r="B443" s="6"/>
      <c r="C443" s="6"/>
      <c r="D443" s="6"/>
    </row>
    <row r="444" customFormat="false" ht="15" hidden="false" customHeight="false" outlineLevel="0" collapsed="false">
      <c r="A444" s="5"/>
      <c r="B444" s="6"/>
      <c r="C444" s="6"/>
      <c r="D444" s="6"/>
    </row>
    <row r="445" customFormat="false" ht="15" hidden="false" customHeight="false" outlineLevel="0" collapsed="false">
      <c r="A445" s="5"/>
      <c r="B445" s="6"/>
      <c r="C445" s="6"/>
      <c r="D445" s="6"/>
    </row>
    <row r="446" customFormat="false" ht="15" hidden="false" customHeight="false" outlineLevel="0" collapsed="false">
      <c r="A446" s="5"/>
      <c r="B446" s="6"/>
      <c r="C446" s="6"/>
      <c r="D446" s="6"/>
    </row>
    <row r="447" customFormat="false" ht="15" hidden="false" customHeight="false" outlineLevel="0" collapsed="false">
      <c r="A447" s="5"/>
      <c r="B447" s="6"/>
      <c r="C447" s="6"/>
      <c r="D447" s="6"/>
    </row>
    <row r="448" customFormat="false" ht="15" hidden="false" customHeight="false" outlineLevel="0" collapsed="false">
      <c r="A448" s="5"/>
      <c r="B448" s="6"/>
      <c r="C448" s="6"/>
      <c r="D448" s="6"/>
    </row>
    <row r="449" customFormat="false" ht="15" hidden="false" customHeight="false" outlineLevel="0" collapsed="false">
      <c r="A449" s="5"/>
      <c r="B449" s="6"/>
      <c r="C449" s="6"/>
      <c r="D449" s="6"/>
    </row>
    <row r="450" customFormat="false" ht="15" hidden="false" customHeight="false" outlineLevel="0" collapsed="false">
      <c r="A450" s="5"/>
      <c r="B450" s="6"/>
      <c r="C450" s="6"/>
      <c r="D450" s="6"/>
    </row>
    <row r="451" customFormat="false" ht="15" hidden="false" customHeight="false" outlineLevel="0" collapsed="false">
      <c r="A451" s="5"/>
      <c r="B451" s="6"/>
      <c r="C451" s="6"/>
      <c r="D451" s="6"/>
    </row>
    <row r="452" customFormat="false" ht="15" hidden="false" customHeight="false" outlineLevel="0" collapsed="false">
      <c r="A452" s="5"/>
      <c r="B452" s="6"/>
      <c r="C452" s="6"/>
      <c r="D452" s="6"/>
    </row>
    <row r="453" customFormat="false" ht="15" hidden="false" customHeight="false" outlineLevel="0" collapsed="false">
      <c r="A453" s="5"/>
      <c r="B453" s="6"/>
      <c r="C453" s="6"/>
      <c r="D453" s="6"/>
    </row>
    <row r="454" customFormat="false" ht="15" hidden="false" customHeight="false" outlineLevel="0" collapsed="false">
      <c r="A454" s="5"/>
      <c r="B454" s="6"/>
      <c r="C454" s="6"/>
      <c r="D454" s="6"/>
    </row>
    <row r="455" customFormat="false" ht="15" hidden="false" customHeight="false" outlineLevel="0" collapsed="false">
      <c r="A455" s="5"/>
      <c r="B455" s="6"/>
      <c r="C455" s="6"/>
      <c r="D455" s="6"/>
    </row>
    <row r="456" customFormat="false" ht="15" hidden="false" customHeight="false" outlineLevel="0" collapsed="false">
      <c r="A456" s="5"/>
      <c r="B456" s="6"/>
      <c r="C456" s="6"/>
      <c r="D456" s="6"/>
    </row>
    <row r="457" customFormat="false" ht="15" hidden="false" customHeight="false" outlineLevel="0" collapsed="false">
      <c r="A457" s="5"/>
      <c r="B457" s="6"/>
      <c r="C457" s="6"/>
      <c r="D457" s="6"/>
    </row>
    <row r="458" customFormat="false" ht="15" hidden="false" customHeight="false" outlineLevel="0" collapsed="false">
      <c r="A458" s="5"/>
      <c r="B458" s="6"/>
      <c r="C458" s="6"/>
      <c r="D458" s="6"/>
    </row>
    <row r="459" customFormat="false" ht="15" hidden="false" customHeight="false" outlineLevel="0" collapsed="false">
      <c r="A459" s="5"/>
      <c r="B459" s="6"/>
      <c r="C459" s="6"/>
      <c r="D459" s="6"/>
    </row>
    <row r="460" customFormat="false" ht="15" hidden="false" customHeight="false" outlineLevel="0" collapsed="false">
      <c r="A460" s="5"/>
      <c r="B460" s="6"/>
      <c r="C460" s="6"/>
      <c r="D460" s="6"/>
    </row>
    <row r="461" customFormat="false" ht="15" hidden="false" customHeight="false" outlineLevel="0" collapsed="false">
      <c r="A461" s="5"/>
      <c r="B461" s="6"/>
      <c r="C461" s="6"/>
      <c r="D461" s="6"/>
    </row>
    <row r="462" customFormat="false" ht="15" hidden="false" customHeight="false" outlineLevel="0" collapsed="false">
      <c r="A462" s="5"/>
      <c r="B462" s="6"/>
      <c r="C462" s="6"/>
      <c r="D462" s="6"/>
    </row>
    <row r="463" customFormat="false" ht="15" hidden="false" customHeight="false" outlineLevel="0" collapsed="false">
      <c r="A463" s="5"/>
      <c r="B463" s="6"/>
      <c r="C463" s="6"/>
      <c r="D463" s="6"/>
    </row>
    <row r="464" customFormat="false" ht="15" hidden="false" customHeight="false" outlineLevel="0" collapsed="false">
      <c r="A464" s="5"/>
      <c r="B464" s="6"/>
      <c r="C464" s="6"/>
      <c r="D464" s="6"/>
    </row>
    <row r="465" customFormat="false" ht="15" hidden="false" customHeight="false" outlineLevel="0" collapsed="false">
      <c r="A465" s="5"/>
      <c r="B465" s="6"/>
      <c r="C465" s="6"/>
      <c r="D465" s="6"/>
    </row>
    <row r="466" customFormat="false" ht="15" hidden="false" customHeight="false" outlineLevel="0" collapsed="false">
      <c r="A466" s="5"/>
      <c r="B466" s="6"/>
      <c r="C466" s="6"/>
      <c r="D466" s="6"/>
    </row>
    <row r="467" customFormat="false" ht="15" hidden="false" customHeight="false" outlineLevel="0" collapsed="false">
      <c r="A467" s="5"/>
      <c r="B467" s="6"/>
      <c r="C467" s="6"/>
      <c r="D467" s="6"/>
    </row>
    <row r="468" customFormat="false" ht="15" hidden="false" customHeight="false" outlineLevel="0" collapsed="false">
      <c r="A468" s="5"/>
      <c r="B468" s="6"/>
      <c r="C468" s="6"/>
      <c r="D468" s="6"/>
    </row>
    <row r="469" customFormat="false" ht="15" hidden="false" customHeight="false" outlineLevel="0" collapsed="false">
      <c r="A469" s="5"/>
      <c r="B469" s="6"/>
      <c r="C469" s="6"/>
      <c r="D469" s="6"/>
    </row>
    <row r="470" customFormat="false" ht="15" hidden="false" customHeight="false" outlineLevel="0" collapsed="false">
      <c r="A470" s="5"/>
      <c r="B470" s="6"/>
      <c r="C470" s="6"/>
      <c r="D470" s="6"/>
    </row>
    <row r="471" customFormat="false" ht="15" hidden="false" customHeight="false" outlineLevel="0" collapsed="false">
      <c r="A471" s="5"/>
      <c r="B471" s="6"/>
      <c r="C471" s="6"/>
      <c r="D471" s="6"/>
    </row>
    <row r="472" customFormat="false" ht="15" hidden="false" customHeight="false" outlineLevel="0" collapsed="false">
      <c r="A472" s="5"/>
      <c r="B472" s="6"/>
      <c r="C472" s="6"/>
      <c r="D472" s="6"/>
    </row>
    <row r="473" customFormat="false" ht="15" hidden="false" customHeight="false" outlineLevel="0" collapsed="false">
      <c r="A473" s="5"/>
      <c r="B473" s="6"/>
      <c r="C473" s="6"/>
      <c r="D473" s="6"/>
    </row>
    <row r="474" customFormat="false" ht="15" hidden="false" customHeight="false" outlineLevel="0" collapsed="false">
      <c r="A474" s="5"/>
      <c r="B474" s="6"/>
      <c r="C474" s="6"/>
      <c r="D474" s="6"/>
    </row>
    <row r="475" customFormat="false" ht="15" hidden="false" customHeight="false" outlineLevel="0" collapsed="false">
      <c r="A475" s="5"/>
      <c r="B475" s="6"/>
      <c r="C475" s="6"/>
      <c r="D475" s="6"/>
    </row>
    <row r="476" customFormat="false" ht="15" hidden="false" customHeight="false" outlineLevel="0" collapsed="false">
      <c r="A476" s="5"/>
      <c r="B476" s="6"/>
      <c r="C476" s="6"/>
      <c r="D476" s="6"/>
    </row>
    <row r="477" customFormat="false" ht="15" hidden="false" customHeight="false" outlineLevel="0" collapsed="false">
      <c r="A477" s="5"/>
      <c r="B477" s="6"/>
      <c r="C477" s="6"/>
      <c r="D477" s="6"/>
    </row>
    <row r="478" customFormat="false" ht="15" hidden="false" customHeight="false" outlineLevel="0" collapsed="false">
      <c r="A478" s="5"/>
      <c r="B478" s="6"/>
      <c r="C478" s="6"/>
      <c r="D478" s="6"/>
    </row>
    <row r="479" customFormat="false" ht="15" hidden="false" customHeight="false" outlineLevel="0" collapsed="false">
      <c r="A479" s="5"/>
      <c r="B479" s="6"/>
      <c r="C479" s="6"/>
      <c r="D479" s="6"/>
    </row>
    <row r="480" customFormat="false" ht="15" hidden="false" customHeight="false" outlineLevel="0" collapsed="false">
      <c r="A480" s="5"/>
      <c r="B480" s="6"/>
      <c r="C480" s="6"/>
      <c r="D480" s="6"/>
    </row>
    <row r="481" customFormat="false" ht="15" hidden="false" customHeight="false" outlineLevel="0" collapsed="false">
      <c r="A481" s="5"/>
      <c r="B481" s="6"/>
      <c r="C481" s="6"/>
      <c r="D481" s="6"/>
    </row>
    <row r="482" customFormat="false" ht="15" hidden="false" customHeight="false" outlineLevel="0" collapsed="false">
      <c r="A482" s="5"/>
      <c r="B482" s="6"/>
      <c r="C482" s="6"/>
      <c r="D482" s="6"/>
    </row>
    <row r="483" customFormat="false" ht="15" hidden="false" customHeight="false" outlineLevel="0" collapsed="false">
      <c r="A483" s="5"/>
      <c r="B483" s="6"/>
      <c r="C483" s="6"/>
      <c r="D483" s="6"/>
    </row>
    <row r="484" customFormat="false" ht="15" hidden="false" customHeight="false" outlineLevel="0" collapsed="false">
      <c r="A484" s="5"/>
      <c r="B484" s="6"/>
      <c r="C484" s="6"/>
      <c r="D484" s="6"/>
    </row>
    <row r="485" customFormat="false" ht="15" hidden="false" customHeight="false" outlineLevel="0" collapsed="false">
      <c r="A485" s="5"/>
      <c r="B485" s="6"/>
      <c r="C485" s="6"/>
      <c r="D485" s="6"/>
    </row>
    <row r="486" customFormat="false" ht="15" hidden="false" customHeight="false" outlineLevel="0" collapsed="false">
      <c r="A486" s="5"/>
      <c r="B486" s="6"/>
      <c r="C486" s="6"/>
      <c r="D486" s="6"/>
    </row>
    <row r="487" customFormat="false" ht="15" hidden="false" customHeight="false" outlineLevel="0" collapsed="false">
      <c r="A487" s="5"/>
      <c r="B487" s="6"/>
      <c r="C487" s="6"/>
      <c r="D487" s="6"/>
    </row>
    <row r="488" customFormat="false" ht="15" hidden="false" customHeight="false" outlineLevel="0" collapsed="false">
      <c r="A488" s="5"/>
      <c r="B488" s="6"/>
      <c r="C488" s="6"/>
      <c r="D488" s="6"/>
    </row>
    <row r="489" customFormat="false" ht="15" hidden="false" customHeight="false" outlineLevel="0" collapsed="false">
      <c r="A489" s="5"/>
      <c r="B489" s="6"/>
      <c r="C489" s="6"/>
      <c r="D489" s="6"/>
    </row>
    <row r="490" customFormat="false" ht="15" hidden="false" customHeight="false" outlineLevel="0" collapsed="false">
      <c r="A490" s="5"/>
      <c r="B490" s="6"/>
      <c r="C490" s="6"/>
      <c r="D490" s="6"/>
    </row>
    <row r="491" customFormat="false" ht="15" hidden="false" customHeight="false" outlineLevel="0" collapsed="false">
      <c r="A491" s="5"/>
      <c r="B491" s="6"/>
      <c r="C491" s="6"/>
      <c r="D491" s="6"/>
    </row>
    <row r="492" customFormat="false" ht="15" hidden="false" customHeight="false" outlineLevel="0" collapsed="false">
      <c r="A492" s="5"/>
      <c r="B492" s="6"/>
      <c r="C492" s="6"/>
      <c r="D492" s="6"/>
    </row>
    <row r="493" customFormat="false" ht="15" hidden="false" customHeight="false" outlineLevel="0" collapsed="false">
      <c r="A493" s="5"/>
      <c r="B493" s="6"/>
      <c r="C493" s="6"/>
      <c r="D493" s="6"/>
    </row>
    <row r="494" customFormat="false" ht="15" hidden="false" customHeight="false" outlineLevel="0" collapsed="false">
      <c r="A494" s="5"/>
      <c r="B494" s="6"/>
      <c r="C494" s="6"/>
      <c r="D494" s="6"/>
    </row>
    <row r="495" customFormat="false" ht="15" hidden="false" customHeight="false" outlineLevel="0" collapsed="false">
      <c r="A495" s="5"/>
      <c r="B495" s="6"/>
      <c r="C495" s="6"/>
      <c r="D495" s="6"/>
    </row>
    <row r="496" customFormat="false" ht="15" hidden="false" customHeight="false" outlineLevel="0" collapsed="false">
      <c r="A496" s="5"/>
      <c r="B496" s="6"/>
      <c r="C496" s="6"/>
      <c r="D496" s="6"/>
    </row>
    <row r="497" customFormat="false" ht="15" hidden="false" customHeight="false" outlineLevel="0" collapsed="false">
      <c r="A497" s="5"/>
      <c r="B497" s="6"/>
      <c r="C497" s="6"/>
      <c r="D497" s="6"/>
    </row>
    <row r="498" customFormat="false" ht="15" hidden="false" customHeight="false" outlineLevel="0" collapsed="false">
      <c r="A498" s="5"/>
      <c r="B498" s="6"/>
      <c r="C498" s="6"/>
      <c r="D498" s="6"/>
    </row>
    <row r="499" customFormat="false" ht="15" hidden="false" customHeight="false" outlineLevel="0" collapsed="false">
      <c r="A499" s="5"/>
      <c r="B499" s="6"/>
      <c r="C499" s="6"/>
      <c r="D499" s="6"/>
    </row>
    <row r="500" customFormat="false" ht="15" hidden="false" customHeight="false" outlineLevel="0" collapsed="false">
      <c r="A500" s="5"/>
      <c r="B500" s="6"/>
      <c r="C500" s="6"/>
      <c r="D500" s="6"/>
    </row>
    <row r="501" customFormat="false" ht="15" hidden="false" customHeight="false" outlineLevel="0" collapsed="false">
      <c r="A501" s="5"/>
      <c r="B501" s="6"/>
      <c r="C501" s="6"/>
      <c r="D501" s="6"/>
    </row>
    <row r="502" customFormat="false" ht="15" hidden="false" customHeight="false" outlineLevel="0" collapsed="false">
      <c r="A502" s="5"/>
      <c r="B502" s="6"/>
      <c r="C502" s="6"/>
      <c r="D502" s="6"/>
    </row>
    <row r="503" customFormat="false" ht="15" hidden="false" customHeight="false" outlineLevel="0" collapsed="false">
      <c r="A503" s="5"/>
      <c r="B503" s="6"/>
      <c r="C503" s="6"/>
      <c r="D503" s="6"/>
    </row>
    <row r="504" customFormat="false" ht="15" hidden="false" customHeight="false" outlineLevel="0" collapsed="false">
      <c r="A504" s="5"/>
      <c r="B504" s="6"/>
      <c r="C504" s="6"/>
      <c r="D504" s="6"/>
    </row>
    <row r="505" customFormat="false" ht="15" hidden="false" customHeight="false" outlineLevel="0" collapsed="false">
      <c r="A505" s="5"/>
      <c r="B505" s="6"/>
      <c r="C505" s="6"/>
      <c r="D505" s="6"/>
    </row>
    <row r="506" customFormat="false" ht="15" hidden="false" customHeight="false" outlineLevel="0" collapsed="false">
      <c r="A506" s="5"/>
      <c r="B506" s="6"/>
      <c r="C506" s="6"/>
      <c r="D506" s="6"/>
    </row>
    <row r="507" customFormat="false" ht="15" hidden="false" customHeight="false" outlineLevel="0" collapsed="false">
      <c r="A507" s="5"/>
      <c r="B507" s="6"/>
      <c r="C507" s="6"/>
      <c r="D507" s="6"/>
    </row>
    <row r="508" customFormat="false" ht="15" hidden="false" customHeight="false" outlineLevel="0" collapsed="false">
      <c r="A508" s="5"/>
      <c r="B508" s="6"/>
      <c r="C508" s="6"/>
      <c r="D508" s="6"/>
    </row>
    <row r="509" customFormat="false" ht="15" hidden="false" customHeight="false" outlineLevel="0" collapsed="false">
      <c r="A509" s="5"/>
      <c r="B509" s="6"/>
      <c r="C509" s="6"/>
      <c r="D509" s="6"/>
    </row>
    <row r="510" customFormat="false" ht="15" hidden="false" customHeight="false" outlineLevel="0" collapsed="false">
      <c r="A510" s="5"/>
      <c r="B510" s="6"/>
      <c r="C510" s="6"/>
      <c r="D510" s="6"/>
    </row>
    <row r="511" customFormat="false" ht="15" hidden="false" customHeight="false" outlineLevel="0" collapsed="false">
      <c r="A511" s="5"/>
      <c r="B511" s="6"/>
      <c r="C511" s="6"/>
      <c r="D511" s="6"/>
    </row>
    <row r="512" customFormat="false" ht="15" hidden="false" customHeight="false" outlineLevel="0" collapsed="false">
      <c r="A512" s="5"/>
      <c r="B512" s="6"/>
      <c r="C512" s="6"/>
      <c r="D512" s="6"/>
    </row>
    <row r="513" customFormat="false" ht="15" hidden="false" customHeight="false" outlineLevel="0" collapsed="false">
      <c r="A513" s="5"/>
      <c r="B513" s="6"/>
      <c r="C513" s="6"/>
      <c r="D513" s="6"/>
    </row>
    <row r="514" customFormat="false" ht="15" hidden="false" customHeight="false" outlineLevel="0" collapsed="false">
      <c r="A514" s="5"/>
      <c r="B514" s="6"/>
      <c r="C514" s="6"/>
      <c r="D514" s="6"/>
    </row>
    <row r="515" customFormat="false" ht="15" hidden="false" customHeight="false" outlineLevel="0" collapsed="false">
      <c r="A515" s="5"/>
      <c r="B515" s="6"/>
      <c r="C515" s="6"/>
      <c r="D515" s="6"/>
    </row>
    <row r="516" customFormat="false" ht="15" hidden="false" customHeight="false" outlineLevel="0" collapsed="false">
      <c r="A516" s="5"/>
      <c r="B516" s="6"/>
      <c r="C516" s="6"/>
      <c r="D516" s="6"/>
    </row>
    <row r="517" customFormat="false" ht="15" hidden="false" customHeight="false" outlineLevel="0" collapsed="false">
      <c r="A517" s="5"/>
      <c r="B517" s="6"/>
      <c r="C517" s="6"/>
      <c r="D517" s="6"/>
    </row>
    <row r="518" customFormat="false" ht="15" hidden="false" customHeight="false" outlineLevel="0" collapsed="false">
      <c r="A518" s="5"/>
      <c r="B518" s="6"/>
      <c r="C518" s="6"/>
      <c r="D518" s="6"/>
    </row>
    <row r="519" customFormat="false" ht="15" hidden="false" customHeight="false" outlineLevel="0" collapsed="false">
      <c r="A519" s="5"/>
      <c r="B519" s="6"/>
      <c r="C519" s="6"/>
      <c r="D519" s="6"/>
    </row>
    <row r="520" customFormat="false" ht="15" hidden="false" customHeight="false" outlineLevel="0" collapsed="false">
      <c r="A520" s="5"/>
      <c r="B520" s="6"/>
      <c r="C520" s="6"/>
      <c r="D520" s="6"/>
    </row>
    <row r="521" customFormat="false" ht="15" hidden="false" customHeight="false" outlineLevel="0" collapsed="false">
      <c r="A521" s="5"/>
      <c r="B521" s="6"/>
      <c r="C521" s="6"/>
      <c r="D521" s="6"/>
    </row>
    <row r="522" customFormat="false" ht="15" hidden="false" customHeight="false" outlineLevel="0" collapsed="false">
      <c r="A522" s="5"/>
      <c r="B522" s="6"/>
      <c r="C522" s="6"/>
      <c r="D522" s="6"/>
    </row>
    <row r="523" customFormat="false" ht="15" hidden="false" customHeight="false" outlineLevel="0" collapsed="false">
      <c r="A523" s="5"/>
      <c r="B523" s="6"/>
      <c r="C523" s="6"/>
      <c r="D523" s="6"/>
    </row>
    <row r="524" customFormat="false" ht="15" hidden="false" customHeight="false" outlineLevel="0" collapsed="false">
      <c r="A524" s="5"/>
      <c r="B524" s="6"/>
      <c r="C524" s="6"/>
      <c r="D524" s="6"/>
    </row>
    <row r="525" customFormat="false" ht="15" hidden="false" customHeight="false" outlineLevel="0" collapsed="false">
      <c r="A525" s="5"/>
      <c r="B525" s="6"/>
      <c r="C525" s="6"/>
      <c r="D525" s="6"/>
    </row>
    <row r="526" customFormat="false" ht="15" hidden="false" customHeight="false" outlineLevel="0" collapsed="false">
      <c r="A526" s="5"/>
      <c r="B526" s="6"/>
      <c r="C526" s="6"/>
      <c r="D526" s="6"/>
    </row>
    <row r="527" customFormat="false" ht="15" hidden="false" customHeight="false" outlineLevel="0" collapsed="false">
      <c r="A527" s="5"/>
      <c r="B527" s="6"/>
      <c r="C527" s="6"/>
      <c r="D527" s="6"/>
    </row>
    <row r="528" customFormat="false" ht="15" hidden="false" customHeight="false" outlineLevel="0" collapsed="false">
      <c r="A528" s="5"/>
      <c r="B528" s="6"/>
      <c r="C528" s="6"/>
      <c r="D528" s="6"/>
    </row>
    <row r="529" customFormat="false" ht="15" hidden="false" customHeight="false" outlineLevel="0" collapsed="false">
      <c r="A529" s="5"/>
      <c r="B529" s="6"/>
      <c r="C529" s="6"/>
      <c r="D529" s="6"/>
    </row>
    <row r="530" customFormat="false" ht="15" hidden="false" customHeight="false" outlineLevel="0" collapsed="false">
      <c r="A530" s="5"/>
      <c r="B530" s="6"/>
      <c r="C530" s="6"/>
      <c r="D530" s="6"/>
    </row>
    <row r="531" customFormat="false" ht="15" hidden="false" customHeight="false" outlineLevel="0" collapsed="false">
      <c r="A531" s="5"/>
      <c r="B531" s="6"/>
      <c r="C531" s="6"/>
      <c r="D531" s="6"/>
    </row>
    <row r="532" customFormat="false" ht="15" hidden="false" customHeight="false" outlineLevel="0" collapsed="false">
      <c r="A532" s="5"/>
      <c r="B532" s="6"/>
      <c r="C532" s="6"/>
      <c r="D532" s="6"/>
    </row>
    <row r="533" customFormat="false" ht="15" hidden="false" customHeight="false" outlineLevel="0" collapsed="false">
      <c r="A533" s="5"/>
      <c r="B533" s="6"/>
      <c r="C533" s="6"/>
      <c r="D533" s="6"/>
    </row>
    <row r="534" customFormat="false" ht="15" hidden="false" customHeight="false" outlineLevel="0" collapsed="false">
      <c r="A534" s="5"/>
      <c r="B534" s="6"/>
      <c r="C534" s="6"/>
      <c r="D534" s="6"/>
    </row>
    <row r="535" customFormat="false" ht="15" hidden="false" customHeight="false" outlineLevel="0" collapsed="false">
      <c r="A535" s="5"/>
      <c r="B535" s="6"/>
      <c r="C535" s="6"/>
      <c r="D535" s="6"/>
    </row>
    <row r="536" customFormat="false" ht="15" hidden="false" customHeight="false" outlineLevel="0" collapsed="false">
      <c r="A536" s="5"/>
      <c r="B536" s="6"/>
      <c r="C536" s="6"/>
      <c r="D536" s="6"/>
    </row>
    <row r="537" customFormat="false" ht="15" hidden="false" customHeight="false" outlineLevel="0" collapsed="false">
      <c r="A537" s="5"/>
      <c r="B537" s="6"/>
      <c r="C537" s="6"/>
      <c r="D537" s="6"/>
    </row>
    <row r="538" customFormat="false" ht="15" hidden="false" customHeight="false" outlineLevel="0" collapsed="false">
      <c r="A538" s="5"/>
      <c r="B538" s="6"/>
      <c r="C538" s="6"/>
      <c r="D538" s="6"/>
    </row>
    <row r="539" customFormat="false" ht="15" hidden="false" customHeight="false" outlineLevel="0" collapsed="false">
      <c r="A539" s="5"/>
      <c r="B539" s="6"/>
      <c r="C539" s="6"/>
      <c r="D539" s="6"/>
    </row>
    <row r="540" customFormat="false" ht="15" hidden="false" customHeight="false" outlineLevel="0" collapsed="false">
      <c r="A540" s="5"/>
      <c r="B540" s="6"/>
      <c r="C540" s="6"/>
      <c r="D540" s="6"/>
    </row>
    <row r="541" customFormat="false" ht="15" hidden="false" customHeight="false" outlineLevel="0" collapsed="false">
      <c r="A541" s="5"/>
      <c r="B541" s="6"/>
      <c r="C541" s="6"/>
      <c r="D541" s="6"/>
    </row>
    <row r="542" customFormat="false" ht="15" hidden="false" customHeight="false" outlineLevel="0" collapsed="false">
      <c r="A542" s="5"/>
      <c r="B542" s="6"/>
      <c r="C542" s="6"/>
      <c r="D542" s="6"/>
    </row>
    <row r="543" customFormat="false" ht="15" hidden="false" customHeight="false" outlineLevel="0" collapsed="false">
      <c r="A543" s="5"/>
      <c r="B543" s="6"/>
      <c r="C543" s="6"/>
      <c r="D543" s="6"/>
    </row>
    <row r="544" customFormat="false" ht="15" hidden="false" customHeight="false" outlineLevel="0" collapsed="false">
      <c r="A544" s="5"/>
      <c r="B544" s="6"/>
      <c r="C544" s="6"/>
      <c r="D544" s="6"/>
    </row>
    <row r="545" customFormat="false" ht="15" hidden="false" customHeight="false" outlineLevel="0" collapsed="false">
      <c r="A545" s="5"/>
      <c r="B545" s="6"/>
      <c r="C545" s="6"/>
      <c r="D545" s="6"/>
    </row>
    <row r="546" customFormat="false" ht="15" hidden="false" customHeight="false" outlineLevel="0" collapsed="false">
      <c r="A546" s="5"/>
      <c r="B546" s="6"/>
      <c r="C546" s="6"/>
      <c r="D546" s="6"/>
    </row>
    <row r="547" customFormat="false" ht="15" hidden="false" customHeight="false" outlineLevel="0" collapsed="false">
      <c r="A547" s="5"/>
      <c r="B547" s="6"/>
      <c r="C547" s="6"/>
      <c r="D547" s="6"/>
    </row>
    <row r="548" customFormat="false" ht="15" hidden="false" customHeight="false" outlineLevel="0" collapsed="false">
      <c r="A548" s="5"/>
      <c r="B548" s="6"/>
      <c r="C548" s="6"/>
      <c r="D548" s="6"/>
    </row>
    <row r="549" customFormat="false" ht="15" hidden="false" customHeight="false" outlineLevel="0" collapsed="false">
      <c r="A549" s="5"/>
      <c r="B549" s="6"/>
      <c r="C549" s="6"/>
      <c r="D549" s="6"/>
    </row>
    <row r="550" customFormat="false" ht="15" hidden="false" customHeight="false" outlineLevel="0" collapsed="false">
      <c r="A550" s="5"/>
      <c r="B550" s="6"/>
      <c r="C550" s="6"/>
      <c r="D550" s="6"/>
    </row>
    <row r="551" customFormat="false" ht="15" hidden="false" customHeight="false" outlineLevel="0" collapsed="false">
      <c r="A551" s="5"/>
      <c r="B551" s="6"/>
      <c r="C551" s="6"/>
      <c r="D551" s="6"/>
    </row>
    <row r="552" customFormat="false" ht="15" hidden="false" customHeight="false" outlineLevel="0" collapsed="false">
      <c r="A552" s="5"/>
      <c r="B552" s="6"/>
      <c r="C552" s="6"/>
      <c r="D552" s="6"/>
    </row>
    <row r="553" customFormat="false" ht="15" hidden="false" customHeight="false" outlineLevel="0" collapsed="false">
      <c r="A553" s="5"/>
      <c r="B553" s="6"/>
      <c r="C553" s="6"/>
      <c r="D553" s="6"/>
    </row>
    <row r="554" customFormat="false" ht="15" hidden="false" customHeight="false" outlineLevel="0" collapsed="false">
      <c r="A554" s="5"/>
      <c r="B554" s="6"/>
      <c r="C554" s="6"/>
      <c r="D554" s="6"/>
    </row>
    <row r="555" customFormat="false" ht="15" hidden="false" customHeight="false" outlineLevel="0" collapsed="false">
      <c r="A555" s="5"/>
      <c r="B555" s="6"/>
      <c r="C555" s="6"/>
      <c r="D555" s="6"/>
    </row>
    <row r="556" customFormat="false" ht="15" hidden="false" customHeight="false" outlineLevel="0" collapsed="false">
      <c r="A556" s="5"/>
      <c r="B556" s="6"/>
      <c r="C556" s="6"/>
      <c r="D556" s="6"/>
    </row>
    <row r="557" customFormat="false" ht="15" hidden="false" customHeight="false" outlineLevel="0" collapsed="false">
      <c r="A557" s="5"/>
      <c r="B557" s="6"/>
      <c r="C557" s="6"/>
      <c r="D557" s="6"/>
    </row>
    <row r="558" customFormat="false" ht="15" hidden="false" customHeight="false" outlineLevel="0" collapsed="false">
      <c r="A558" s="5"/>
      <c r="B558" s="6"/>
      <c r="C558" s="6"/>
      <c r="D558" s="6"/>
    </row>
    <row r="559" customFormat="false" ht="15" hidden="false" customHeight="false" outlineLevel="0" collapsed="false">
      <c r="A559" s="5"/>
      <c r="B559" s="6"/>
      <c r="C559" s="6"/>
      <c r="D559" s="6"/>
    </row>
    <row r="560" customFormat="false" ht="15" hidden="false" customHeight="false" outlineLevel="0" collapsed="false">
      <c r="A560" s="5"/>
      <c r="B560" s="6"/>
      <c r="C560" s="6"/>
      <c r="D560" s="6"/>
    </row>
    <row r="561" customFormat="false" ht="15" hidden="false" customHeight="false" outlineLevel="0" collapsed="false">
      <c r="A561" s="5"/>
      <c r="B561" s="6"/>
      <c r="C561" s="6"/>
      <c r="D561" s="6"/>
    </row>
    <row r="562" customFormat="false" ht="15" hidden="false" customHeight="false" outlineLevel="0" collapsed="false">
      <c r="A562" s="5"/>
      <c r="B562" s="6"/>
      <c r="C562" s="6"/>
      <c r="D562" s="6"/>
    </row>
    <row r="563" customFormat="false" ht="15" hidden="false" customHeight="false" outlineLevel="0" collapsed="false">
      <c r="A563" s="5"/>
      <c r="B563" s="6"/>
      <c r="C563" s="6"/>
      <c r="D563" s="6"/>
    </row>
    <row r="564" customFormat="false" ht="15" hidden="false" customHeight="false" outlineLevel="0" collapsed="false">
      <c r="A564" s="5"/>
      <c r="B564" s="6"/>
      <c r="C564" s="6"/>
      <c r="D564" s="6"/>
    </row>
    <row r="565" customFormat="false" ht="15" hidden="false" customHeight="false" outlineLevel="0" collapsed="false">
      <c r="A565" s="5"/>
      <c r="B565" s="6"/>
      <c r="C565" s="6"/>
      <c r="D565" s="6"/>
    </row>
    <row r="566" customFormat="false" ht="15" hidden="false" customHeight="false" outlineLevel="0" collapsed="false">
      <c r="A566" s="5"/>
      <c r="B566" s="6"/>
      <c r="C566" s="6"/>
      <c r="D566" s="6"/>
    </row>
    <row r="567" customFormat="false" ht="15" hidden="false" customHeight="false" outlineLevel="0" collapsed="false">
      <c r="A567" s="5"/>
      <c r="B567" s="6"/>
      <c r="C567" s="6"/>
      <c r="D567" s="6"/>
    </row>
    <row r="568" customFormat="false" ht="15" hidden="false" customHeight="false" outlineLevel="0" collapsed="false">
      <c r="A568" s="5"/>
      <c r="B568" s="6"/>
      <c r="C568" s="6"/>
      <c r="D568" s="6"/>
    </row>
    <row r="569" customFormat="false" ht="15" hidden="false" customHeight="false" outlineLevel="0" collapsed="false">
      <c r="A569" s="5"/>
      <c r="B569" s="6"/>
      <c r="C569" s="6"/>
      <c r="D569" s="6"/>
    </row>
    <row r="570" customFormat="false" ht="15" hidden="false" customHeight="false" outlineLevel="0" collapsed="false">
      <c r="A570" s="5"/>
      <c r="B570" s="6"/>
      <c r="C570" s="6"/>
      <c r="D570" s="6"/>
    </row>
    <row r="571" customFormat="false" ht="15" hidden="false" customHeight="false" outlineLevel="0" collapsed="false">
      <c r="A571" s="5"/>
      <c r="B571" s="6"/>
      <c r="C571" s="6"/>
      <c r="D571" s="6"/>
    </row>
    <row r="572" customFormat="false" ht="15" hidden="false" customHeight="false" outlineLevel="0" collapsed="false">
      <c r="A572" s="5"/>
      <c r="B572" s="6"/>
      <c r="C572" s="6"/>
      <c r="D572" s="6"/>
    </row>
    <row r="573" customFormat="false" ht="15" hidden="false" customHeight="false" outlineLevel="0" collapsed="false">
      <c r="A573" s="5"/>
      <c r="B573" s="6"/>
      <c r="C573" s="6"/>
      <c r="D573" s="6"/>
    </row>
    <row r="574" customFormat="false" ht="15" hidden="false" customHeight="false" outlineLevel="0" collapsed="false">
      <c r="A574" s="5"/>
      <c r="B574" s="6"/>
      <c r="C574" s="6"/>
      <c r="D574" s="6"/>
    </row>
    <row r="575" customFormat="false" ht="15" hidden="false" customHeight="false" outlineLevel="0" collapsed="false">
      <c r="A575" s="5"/>
      <c r="B575" s="6"/>
      <c r="C575" s="6"/>
      <c r="D575" s="6"/>
    </row>
    <row r="576" customFormat="false" ht="15" hidden="false" customHeight="false" outlineLevel="0" collapsed="false">
      <c r="A576" s="5"/>
      <c r="B576" s="6"/>
      <c r="C576" s="6"/>
      <c r="D576" s="6"/>
    </row>
    <row r="577" customFormat="false" ht="15" hidden="false" customHeight="false" outlineLevel="0" collapsed="false">
      <c r="A577" s="5"/>
      <c r="B577" s="6"/>
      <c r="C577" s="6"/>
      <c r="D577" s="6"/>
    </row>
    <row r="578" customFormat="false" ht="15" hidden="false" customHeight="false" outlineLevel="0" collapsed="false">
      <c r="A578" s="5"/>
      <c r="B578" s="6"/>
      <c r="C578" s="6"/>
      <c r="D578" s="6"/>
    </row>
    <row r="579" customFormat="false" ht="15" hidden="false" customHeight="false" outlineLevel="0" collapsed="false">
      <c r="A579" s="5"/>
      <c r="B579" s="6"/>
      <c r="C579" s="6"/>
      <c r="D579" s="6"/>
    </row>
    <row r="580" customFormat="false" ht="15" hidden="false" customHeight="false" outlineLevel="0" collapsed="false">
      <c r="A580" s="5"/>
      <c r="B580" s="6"/>
      <c r="C580" s="6"/>
      <c r="D580" s="6"/>
    </row>
    <row r="581" customFormat="false" ht="15" hidden="false" customHeight="false" outlineLevel="0" collapsed="false">
      <c r="A581" s="5"/>
      <c r="B581" s="6"/>
      <c r="C581" s="6"/>
      <c r="D581" s="6"/>
    </row>
    <row r="582" customFormat="false" ht="15" hidden="false" customHeight="false" outlineLevel="0" collapsed="false">
      <c r="A582" s="5"/>
      <c r="B582" s="6"/>
      <c r="C582" s="6"/>
      <c r="D582" s="6"/>
    </row>
    <row r="583" customFormat="false" ht="15" hidden="false" customHeight="false" outlineLevel="0" collapsed="false">
      <c r="A583" s="5"/>
      <c r="B583" s="6"/>
      <c r="C583" s="6"/>
      <c r="D583" s="6"/>
    </row>
    <row r="584" customFormat="false" ht="15" hidden="false" customHeight="false" outlineLevel="0" collapsed="false">
      <c r="A584" s="5"/>
      <c r="B584" s="6"/>
      <c r="C584" s="6"/>
      <c r="D584" s="6"/>
    </row>
    <row r="585" customFormat="false" ht="15" hidden="false" customHeight="false" outlineLevel="0" collapsed="false">
      <c r="A585" s="5"/>
      <c r="B585" s="6"/>
      <c r="C585" s="6"/>
      <c r="D585" s="6"/>
    </row>
    <row r="586" customFormat="false" ht="15" hidden="false" customHeight="false" outlineLevel="0" collapsed="false">
      <c r="A586" s="5"/>
      <c r="B586" s="6"/>
      <c r="C586" s="6"/>
      <c r="D586" s="6"/>
    </row>
    <row r="587" customFormat="false" ht="15" hidden="false" customHeight="false" outlineLevel="0" collapsed="false">
      <c r="A587" s="5"/>
      <c r="B587" s="6"/>
      <c r="C587" s="6"/>
      <c r="D587" s="6"/>
    </row>
    <row r="588" customFormat="false" ht="15" hidden="false" customHeight="false" outlineLevel="0" collapsed="false">
      <c r="A588" s="5"/>
      <c r="B588" s="6"/>
      <c r="C588" s="6"/>
      <c r="D588" s="6"/>
    </row>
    <row r="589" customFormat="false" ht="15" hidden="false" customHeight="false" outlineLevel="0" collapsed="false">
      <c r="A589" s="5"/>
      <c r="B589" s="6"/>
      <c r="C589" s="6"/>
      <c r="D589" s="6"/>
    </row>
    <row r="590" customFormat="false" ht="15" hidden="false" customHeight="false" outlineLevel="0" collapsed="false">
      <c r="A590" s="5"/>
      <c r="B590" s="6"/>
      <c r="C590" s="6"/>
      <c r="D590" s="6"/>
    </row>
    <row r="591" customFormat="false" ht="15" hidden="false" customHeight="false" outlineLevel="0" collapsed="false">
      <c r="A591" s="5"/>
      <c r="B591" s="6"/>
      <c r="C591" s="6"/>
      <c r="D591" s="6"/>
    </row>
    <row r="592" customFormat="false" ht="15" hidden="false" customHeight="false" outlineLevel="0" collapsed="false">
      <c r="A592" s="5"/>
      <c r="B592" s="6"/>
      <c r="C592" s="6"/>
      <c r="D592" s="6"/>
    </row>
    <row r="593" customFormat="false" ht="15" hidden="false" customHeight="false" outlineLevel="0" collapsed="false">
      <c r="A593" s="5"/>
      <c r="B593" s="6"/>
      <c r="C593" s="6"/>
      <c r="D593" s="6"/>
    </row>
    <row r="594" customFormat="false" ht="15" hidden="false" customHeight="false" outlineLevel="0" collapsed="false">
      <c r="A594" s="5"/>
      <c r="B594" s="6"/>
      <c r="C594" s="6"/>
      <c r="D594" s="6"/>
    </row>
    <row r="595" customFormat="false" ht="15" hidden="false" customHeight="false" outlineLevel="0" collapsed="false">
      <c r="A595" s="5"/>
      <c r="B595" s="6"/>
      <c r="C595" s="6"/>
      <c r="D595" s="6"/>
    </row>
    <row r="596" customFormat="false" ht="15" hidden="false" customHeight="false" outlineLevel="0" collapsed="false">
      <c r="A596" s="5"/>
      <c r="B596" s="6"/>
      <c r="C596" s="6"/>
      <c r="D596" s="6"/>
    </row>
    <row r="597" customFormat="false" ht="15" hidden="false" customHeight="false" outlineLevel="0" collapsed="false">
      <c r="A597" s="5"/>
      <c r="B597" s="6"/>
      <c r="C597" s="6"/>
      <c r="D597" s="6"/>
    </row>
    <row r="598" customFormat="false" ht="15" hidden="false" customHeight="false" outlineLevel="0" collapsed="false">
      <c r="A598" s="5"/>
      <c r="B598" s="6"/>
      <c r="C598" s="6"/>
      <c r="D598" s="6"/>
    </row>
    <row r="599" customFormat="false" ht="15" hidden="false" customHeight="false" outlineLevel="0" collapsed="false">
      <c r="A599" s="5"/>
      <c r="B599" s="6"/>
      <c r="C599" s="6"/>
      <c r="D599" s="6"/>
    </row>
    <row r="600" customFormat="false" ht="15" hidden="false" customHeight="false" outlineLevel="0" collapsed="false">
      <c r="A600" s="5"/>
      <c r="B600" s="6"/>
      <c r="C600" s="6"/>
      <c r="D600" s="6"/>
    </row>
    <row r="601" customFormat="false" ht="15" hidden="false" customHeight="false" outlineLevel="0" collapsed="false">
      <c r="A601" s="5"/>
      <c r="B601" s="6"/>
      <c r="C601" s="6"/>
      <c r="D601" s="6"/>
    </row>
    <row r="602" customFormat="false" ht="15" hidden="false" customHeight="false" outlineLevel="0" collapsed="false">
      <c r="A602" s="5"/>
      <c r="B602" s="6"/>
      <c r="C602" s="6"/>
      <c r="D602" s="6"/>
    </row>
    <row r="603" customFormat="false" ht="15" hidden="false" customHeight="false" outlineLevel="0" collapsed="false">
      <c r="A603" s="5"/>
      <c r="B603" s="6"/>
      <c r="C603" s="6"/>
      <c r="D603" s="6"/>
    </row>
    <row r="604" customFormat="false" ht="15" hidden="false" customHeight="false" outlineLevel="0" collapsed="false">
      <c r="A604" s="5"/>
      <c r="B604" s="6"/>
      <c r="C604" s="6"/>
      <c r="D604" s="6"/>
    </row>
    <row r="605" customFormat="false" ht="15" hidden="false" customHeight="false" outlineLevel="0" collapsed="false">
      <c r="A605" s="5"/>
      <c r="B605" s="6"/>
      <c r="C605" s="6"/>
      <c r="D605" s="6"/>
    </row>
    <row r="606" customFormat="false" ht="15" hidden="false" customHeight="false" outlineLevel="0" collapsed="false">
      <c r="A606" s="5"/>
      <c r="B606" s="6"/>
      <c r="C606" s="6"/>
      <c r="D606" s="6"/>
    </row>
    <row r="607" customFormat="false" ht="15" hidden="false" customHeight="false" outlineLevel="0" collapsed="false">
      <c r="A607" s="5"/>
      <c r="B607" s="6"/>
      <c r="C607" s="6"/>
      <c r="D607" s="6"/>
    </row>
    <row r="608" customFormat="false" ht="15" hidden="false" customHeight="false" outlineLevel="0" collapsed="false">
      <c r="A608" s="5"/>
      <c r="B608" s="6"/>
      <c r="C608" s="6"/>
      <c r="D608" s="6"/>
    </row>
    <row r="609" customFormat="false" ht="15" hidden="false" customHeight="false" outlineLevel="0" collapsed="false">
      <c r="A609" s="5"/>
      <c r="B609" s="6"/>
      <c r="C609" s="6"/>
      <c r="D609" s="6"/>
    </row>
    <row r="610" customFormat="false" ht="15" hidden="false" customHeight="false" outlineLevel="0" collapsed="false">
      <c r="A610" s="5"/>
      <c r="B610" s="6"/>
      <c r="C610" s="6"/>
      <c r="D610" s="6"/>
    </row>
    <row r="611" customFormat="false" ht="15" hidden="false" customHeight="false" outlineLevel="0" collapsed="false">
      <c r="A611" s="5"/>
      <c r="B611" s="6"/>
      <c r="C611" s="6"/>
      <c r="D611" s="6"/>
    </row>
    <row r="612" customFormat="false" ht="15" hidden="false" customHeight="false" outlineLevel="0" collapsed="false">
      <c r="A612" s="5"/>
      <c r="B612" s="6"/>
      <c r="C612" s="6"/>
      <c r="D612" s="6"/>
    </row>
    <row r="613" customFormat="false" ht="15" hidden="false" customHeight="false" outlineLevel="0" collapsed="false">
      <c r="A613" s="5"/>
      <c r="B613" s="6"/>
      <c r="C613" s="6"/>
      <c r="D613" s="6"/>
    </row>
    <row r="614" customFormat="false" ht="15" hidden="false" customHeight="false" outlineLevel="0" collapsed="false">
      <c r="A614" s="5"/>
      <c r="B614" s="6"/>
      <c r="C614" s="6"/>
      <c r="D614" s="6"/>
    </row>
    <row r="615" customFormat="false" ht="15" hidden="false" customHeight="false" outlineLevel="0" collapsed="false">
      <c r="A615" s="5"/>
      <c r="B615" s="6"/>
      <c r="C615" s="6"/>
      <c r="D615" s="6"/>
    </row>
    <row r="616" customFormat="false" ht="15" hidden="false" customHeight="false" outlineLevel="0" collapsed="false">
      <c r="A616" s="5"/>
      <c r="B616" s="6"/>
      <c r="C616" s="6"/>
      <c r="D616" s="6"/>
    </row>
    <row r="617" customFormat="false" ht="15" hidden="false" customHeight="false" outlineLevel="0" collapsed="false">
      <c r="A617" s="5"/>
      <c r="B617" s="6"/>
      <c r="C617" s="6"/>
      <c r="D617" s="6"/>
    </row>
    <row r="618" customFormat="false" ht="15" hidden="false" customHeight="false" outlineLevel="0" collapsed="false">
      <c r="A618" s="5"/>
      <c r="B618" s="6"/>
      <c r="C618" s="6"/>
      <c r="D618" s="6"/>
    </row>
    <row r="619" customFormat="false" ht="15" hidden="false" customHeight="false" outlineLevel="0" collapsed="false">
      <c r="A619" s="5"/>
      <c r="B619" s="6"/>
      <c r="C619" s="6"/>
      <c r="D619" s="6"/>
    </row>
    <row r="620" customFormat="false" ht="15" hidden="false" customHeight="false" outlineLevel="0" collapsed="false">
      <c r="A620" s="5"/>
      <c r="B620" s="6"/>
      <c r="C620" s="6"/>
      <c r="D620" s="6"/>
    </row>
    <row r="621" customFormat="false" ht="15" hidden="false" customHeight="false" outlineLevel="0" collapsed="false">
      <c r="A621" s="5"/>
      <c r="B621" s="6"/>
      <c r="C621" s="6"/>
      <c r="D621" s="6"/>
    </row>
    <row r="622" customFormat="false" ht="15" hidden="false" customHeight="false" outlineLevel="0" collapsed="false">
      <c r="A622" s="5"/>
      <c r="B622" s="6"/>
      <c r="C622" s="6"/>
      <c r="D622" s="6"/>
    </row>
    <row r="623" customFormat="false" ht="15" hidden="false" customHeight="false" outlineLevel="0" collapsed="false">
      <c r="A623" s="5"/>
      <c r="B623" s="6"/>
      <c r="C623" s="6"/>
      <c r="D623" s="6"/>
    </row>
    <row r="624" customFormat="false" ht="15" hidden="false" customHeight="false" outlineLevel="0" collapsed="false">
      <c r="A624" s="5"/>
      <c r="B624" s="6"/>
      <c r="C624" s="6"/>
      <c r="D624" s="6"/>
    </row>
    <row r="625" customFormat="false" ht="15" hidden="false" customHeight="false" outlineLevel="0" collapsed="false">
      <c r="A625" s="5"/>
      <c r="B625" s="6"/>
      <c r="C625" s="6"/>
      <c r="D625" s="6"/>
    </row>
    <row r="626" customFormat="false" ht="15" hidden="false" customHeight="false" outlineLevel="0" collapsed="false">
      <c r="A626" s="5"/>
      <c r="B626" s="6"/>
      <c r="C626" s="6"/>
      <c r="D626" s="6"/>
    </row>
    <row r="627" customFormat="false" ht="15" hidden="false" customHeight="false" outlineLevel="0" collapsed="false">
      <c r="A627" s="5"/>
      <c r="B627" s="6"/>
      <c r="C627" s="6"/>
      <c r="D627" s="6"/>
    </row>
    <row r="628" customFormat="false" ht="15" hidden="false" customHeight="false" outlineLevel="0" collapsed="false">
      <c r="A628" s="5"/>
      <c r="B628" s="6"/>
      <c r="C628" s="6"/>
      <c r="D628" s="6"/>
    </row>
    <row r="629" customFormat="false" ht="15" hidden="false" customHeight="false" outlineLevel="0" collapsed="false">
      <c r="A629" s="5"/>
      <c r="B629" s="6"/>
      <c r="C629" s="6"/>
      <c r="D629" s="6"/>
    </row>
    <row r="630" customFormat="false" ht="15" hidden="false" customHeight="false" outlineLevel="0" collapsed="false">
      <c r="A630" s="5"/>
      <c r="B630" s="6"/>
      <c r="C630" s="6"/>
      <c r="D630" s="6"/>
    </row>
    <row r="631" customFormat="false" ht="15" hidden="false" customHeight="false" outlineLevel="0" collapsed="false">
      <c r="A631" s="5"/>
      <c r="B631" s="6"/>
      <c r="C631" s="6"/>
      <c r="D631" s="6"/>
    </row>
    <row r="632" customFormat="false" ht="15" hidden="false" customHeight="false" outlineLevel="0" collapsed="false">
      <c r="A632" s="5"/>
      <c r="B632" s="6"/>
      <c r="C632" s="6"/>
      <c r="D632" s="6"/>
    </row>
    <row r="633" customFormat="false" ht="15" hidden="false" customHeight="false" outlineLevel="0" collapsed="false">
      <c r="A633" s="5"/>
      <c r="B633" s="6"/>
      <c r="C633" s="6"/>
      <c r="D633" s="6"/>
    </row>
    <row r="634" customFormat="false" ht="15" hidden="false" customHeight="false" outlineLevel="0" collapsed="false">
      <c r="A634" s="5"/>
      <c r="B634" s="6"/>
      <c r="C634" s="6"/>
      <c r="D634" s="6"/>
    </row>
    <row r="635" customFormat="false" ht="15" hidden="false" customHeight="false" outlineLevel="0" collapsed="false">
      <c r="A635" s="5"/>
      <c r="B635" s="6"/>
      <c r="C635" s="6"/>
      <c r="D635" s="6"/>
    </row>
    <row r="636" customFormat="false" ht="15" hidden="false" customHeight="false" outlineLevel="0" collapsed="false">
      <c r="A636" s="5"/>
      <c r="B636" s="6"/>
      <c r="C636" s="6"/>
      <c r="D636" s="6"/>
    </row>
    <row r="637" customFormat="false" ht="15" hidden="false" customHeight="false" outlineLevel="0" collapsed="false">
      <c r="A637" s="5"/>
      <c r="B637" s="6"/>
      <c r="C637" s="6"/>
      <c r="D637" s="6"/>
    </row>
    <row r="638" customFormat="false" ht="15" hidden="false" customHeight="false" outlineLevel="0" collapsed="false">
      <c r="A638" s="5"/>
      <c r="B638" s="6"/>
      <c r="C638" s="6"/>
      <c r="D638" s="6"/>
    </row>
    <row r="639" customFormat="false" ht="15" hidden="false" customHeight="false" outlineLevel="0" collapsed="false">
      <c r="A639" s="5"/>
      <c r="B639" s="6"/>
      <c r="C639" s="6"/>
      <c r="D639" s="6"/>
    </row>
    <row r="640" customFormat="false" ht="15" hidden="false" customHeight="false" outlineLevel="0" collapsed="false">
      <c r="A640" s="5"/>
      <c r="B640" s="6"/>
      <c r="C640" s="6"/>
      <c r="D640" s="6"/>
    </row>
    <row r="641" customFormat="false" ht="15" hidden="false" customHeight="false" outlineLevel="0" collapsed="false">
      <c r="A641" s="5"/>
      <c r="B641" s="6"/>
      <c r="C641" s="6"/>
      <c r="D641" s="6"/>
    </row>
    <row r="642" customFormat="false" ht="15" hidden="false" customHeight="false" outlineLevel="0" collapsed="false">
      <c r="A642" s="5"/>
      <c r="B642" s="6"/>
      <c r="C642" s="6"/>
      <c r="D642" s="6"/>
    </row>
    <row r="643" customFormat="false" ht="15" hidden="false" customHeight="false" outlineLevel="0" collapsed="false">
      <c r="A643" s="5"/>
      <c r="B643" s="6"/>
      <c r="C643" s="6"/>
      <c r="D643" s="6"/>
    </row>
    <row r="644" customFormat="false" ht="15" hidden="false" customHeight="false" outlineLevel="0" collapsed="false">
      <c r="A644" s="5"/>
      <c r="B644" s="6"/>
      <c r="C644" s="6"/>
      <c r="D644" s="6"/>
    </row>
    <row r="645" customFormat="false" ht="15" hidden="false" customHeight="false" outlineLevel="0" collapsed="false">
      <c r="A645" s="5"/>
      <c r="B645" s="6"/>
      <c r="C645" s="6"/>
      <c r="D645" s="6"/>
    </row>
    <row r="646" customFormat="false" ht="15" hidden="false" customHeight="false" outlineLevel="0" collapsed="false">
      <c r="A646" s="5"/>
      <c r="B646" s="6"/>
      <c r="C646" s="6"/>
      <c r="D646" s="6"/>
    </row>
    <row r="647" customFormat="false" ht="15" hidden="false" customHeight="false" outlineLevel="0" collapsed="false">
      <c r="A647" s="5"/>
      <c r="B647" s="6"/>
      <c r="C647" s="6"/>
      <c r="D647" s="6"/>
    </row>
    <row r="648" customFormat="false" ht="15" hidden="false" customHeight="false" outlineLevel="0" collapsed="false">
      <c r="A648" s="5"/>
      <c r="B648" s="6"/>
      <c r="C648" s="6"/>
      <c r="D648" s="6"/>
    </row>
    <row r="649" customFormat="false" ht="15" hidden="false" customHeight="false" outlineLevel="0" collapsed="false">
      <c r="A649" s="5"/>
      <c r="B649" s="6"/>
      <c r="C649" s="6"/>
      <c r="D649" s="6"/>
    </row>
    <row r="650" customFormat="false" ht="15" hidden="false" customHeight="false" outlineLevel="0" collapsed="false">
      <c r="A650" s="5"/>
      <c r="B650" s="6"/>
      <c r="C650" s="6"/>
      <c r="D650" s="6"/>
    </row>
    <row r="651" customFormat="false" ht="15" hidden="false" customHeight="false" outlineLevel="0" collapsed="false">
      <c r="A651" s="5"/>
      <c r="B651" s="6"/>
      <c r="C651" s="6"/>
      <c r="D651" s="6"/>
    </row>
    <row r="652" customFormat="false" ht="15" hidden="false" customHeight="false" outlineLevel="0" collapsed="false">
      <c r="A652" s="5"/>
      <c r="B652" s="6"/>
      <c r="C652" s="6"/>
      <c r="D652" s="6"/>
    </row>
    <row r="653" customFormat="false" ht="15" hidden="false" customHeight="false" outlineLevel="0" collapsed="false">
      <c r="A653" s="5"/>
      <c r="B653" s="6"/>
      <c r="C653" s="6"/>
      <c r="D653" s="6"/>
    </row>
    <row r="654" customFormat="false" ht="15" hidden="false" customHeight="false" outlineLevel="0" collapsed="false">
      <c r="A654" s="5"/>
      <c r="B654" s="6"/>
      <c r="C654" s="6"/>
      <c r="D654" s="6"/>
    </row>
    <row r="655" customFormat="false" ht="15" hidden="false" customHeight="false" outlineLevel="0" collapsed="false">
      <c r="A655" s="5"/>
      <c r="B655" s="6"/>
      <c r="C655" s="6"/>
      <c r="D655" s="6"/>
    </row>
    <row r="656" customFormat="false" ht="15" hidden="false" customHeight="false" outlineLevel="0" collapsed="false">
      <c r="A656" s="5"/>
      <c r="B656" s="6"/>
      <c r="C656" s="6"/>
      <c r="D656" s="6"/>
    </row>
    <row r="657" customFormat="false" ht="15" hidden="false" customHeight="false" outlineLevel="0" collapsed="false">
      <c r="A657" s="5"/>
      <c r="B657" s="6"/>
      <c r="C657" s="6"/>
      <c r="D657" s="6"/>
    </row>
    <row r="658" customFormat="false" ht="15" hidden="false" customHeight="false" outlineLevel="0" collapsed="false">
      <c r="A658" s="5"/>
      <c r="B658" s="6"/>
      <c r="C658" s="6"/>
      <c r="D658" s="6"/>
    </row>
    <row r="659" customFormat="false" ht="15" hidden="false" customHeight="false" outlineLevel="0" collapsed="false">
      <c r="A659" s="5"/>
      <c r="B659" s="6"/>
      <c r="C659" s="6"/>
      <c r="D659" s="6"/>
    </row>
    <row r="660" customFormat="false" ht="15" hidden="false" customHeight="false" outlineLevel="0" collapsed="false">
      <c r="A660" s="5"/>
      <c r="B660" s="6"/>
      <c r="C660" s="6"/>
      <c r="D660" s="6"/>
    </row>
    <row r="661" customFormat="false" ht="15" hidden="false" customHeight="false" outlineLevel="0" collapsed="false">
      <c r="A661" s="5"/>
      <c r="B661" s="6"/>
      <c r="C661" s="6"/>
      <c r="D661" s="6"/>
    </row>
    <row r="662" customFormat="false" ht="15" hidden="false" customHeight="false" outlineLevel="0" collapsed="false">
      <c r="A662" s="5"/>
      <c r="B662" s="6"/>
      <c r="C662" s="6"/>
      <c r="D662" s="6"/>
    </row>
    <row r="663" customFormat="false" ht="15" hidden="false" customHeight="false" outlineLevel="0" collapsed="false">
      <c r="A663" s="5"/>
      <c r="B663" s="6"/>
      <c r="C663" s="6"/>
      <c r="D663" s="6"/>
    </row>
    <row r="664" customFormat="false" ht="15" hidden="false" customHeight="false" outlineLevel="0" collapsed="false">
      <c r="A664" s="5"/>
      <c r="B664" s="6"/>
      <c r="C664" s="6"/>
      <c r="D664" s="6"/>
    </row>
    <row r="665" customFormat="false" ht="15" hidden="false" customHeight="false" outlineLevel="0" collapsed="false">
      <c r="A665" s="5"/>
      <c r="B665" s="6"/>
      <c r="C665" s="6"/>
      <c r="D665" s="6"/>
    </row>
    <row r="666" customFormat="false" ht="15" hidden="false" customHeight="false" outlineLevel="0" collapsed="false">
      <c r="A666" s="5"/>
      <c r="B666" s="6"/>
      <c r="C666" s="6"/>
      <c r="D666" s="6"/>
    </row>
    <row r="667" customFormat="false" ht="15" hidden="false" customHeight="false" outlineLevel="0" collapsed="false">
      <c r="A667" s="5"/>
      <c r="B667" s="6"/>
      <c r="C667" s="6"/>
      <c r="D667" s="6"/>
    </row>
    <row r="668" customFormat="false" ht="15" hidden="false" customHeight="false" outlineLevel="0" collapsed="false">
      <c r="A668" s="5"/>
      <c r="B668" s="6"/>
      <c r="C668" s="6"/>
      <c r="D668" s="6"/>
    </row>
    <row r="669" customFormat="false" ht="15" hidden="false" customHeight="false" outlineLevel="0" collapsed="false">
      <c r="A669" s="5"/>
      <c r="B669" s="6"/>
      <c r="C669" s="6"/>
      <c r="D669" s="6"/>
    </row>
    <row r="670" customFormat="false" ht="15" hidden="false" customHeight="false" outlineLevel="0" collapsed="false">
      <c r="A670" s="5"/>
      <c r="B670" s="6"/>
      <c r="C670" s="6"/>
      <c r="D670" s="6"/>
    </row>
    <row r="671" customFormat="false" ht="15" hidden="false" customHeight="false" outlineLevel="0" collapsed="false">
      <c r="A671" s="5"/>
      <c r="B671" s="6"/>
      <c r="C671" s="6"/>
      <c r="D671" s="6"/>
    </row>
    <row r="672" customFormat="false" ht="15" hidden="false" customHeight="false" outlineLevel="0" collapsed="false">
      <c r="A672" s="5"/>
      <c r="B672" s="6"/>
      <c r="C672" s="6"/>
      <c r="D672" s="6"/>
    </row>
    <row r="673" customFormat="false" ht="15" hidden="false" customHeight="false" outlineLevel="0" collapsed="false">
      <c r="A673" s="5"/>
      <c r="B673" s="6"/>
      <c r="C673" s="6"/>
      <c r="D673" s="6"/>
    </row>
    <row r="674" customFormat="false" ht="15" hidden="false" customHeight="false" outlineLevel="0" collapsed="false">
      <c r="A674" s="5"/>
      <c r="B674" s="6"/>
      <c r="C674" s="6"/>
      <c r="D674" s="6"/>
    </row>
    <row r="675" customFormat="false" ht="15" hidden="false" customHeight="false" outlineLevel="0" collapsed="false">
      <c r="A675" s="5"/>
      <c r="B675" s="6"/>
      <c r="C675" s="6"/>
      <c r="D675" s="6"/>
    </row>
    <row r="676" customFormat="false" ht="15" hidden="false" customHeight="false" outlineLevel="0" collapsed="false">
      <c r="A676" s="5"/>
      <c r="B676" s="6"/>
      <c r="C676" s="6"/>
      <c r="D676" s="6"/>
    </row>
    <row r="677" customFormat="false" ht="15" hidden="false" customHeight="false" outlineLevel="0" collapsed="false">
      <c r="A677" s="5"/>
      <c r="B677" s="6"/>
      <c r="C677" s="6"/>
      <c r="D677" s="6"/>
    </row>
    <row r="678" customFormat="false" ht="15" hidden="false" customHeight="false" outlineLevel="0" collapsed="false">
      <c r="A678" s="5"/>
      <c r="B678" s="6"/>
      <c r="C678" s="6"/>
      <c r="D678" s="6"/>
    </row>
    <row r="679" customFormat="false" ht="15" hidden="false" customHeight="false" outlineLevel="0" collapsed="false">
      <c r="A679" s="5"/>
      <c r="B679" s="6"/>
      <c r="C679" s="6"/>
      <c r="D679" s="6"/>
    </row>
    <row r="680" customFormat="false" ht="15" hidden="false" customHeight="false" outlineLevel="0" collapsed="false">
      <c r="A680" s="5"/>
      <c r="B680" s="6"/>
      <c r="C680" s="6"/>
      <c r="D680" s="6"/>
    </row>
    <row r="681" customFormat="false" ht="15" hidden="false" customHeight="false" outlineLevel="0" collapsed="false">
      <c r="A681" s="5"/>
      <c r="B681" s="6"/>
      <c r="C681" s="6"/>
      <c r="D681" s="6"/>
    </row>
    <row r="682" customFormat="false" ht="15" hidden="false" customHeight="false" outlineLevel="0" collapsed="false">
      <c r="A682" s="5"/>
      <c r="B682" s="6"/>
      <c r="C682" s="6"/>
      <c r="D682" s="6"/>
    </row>
    <row r="683" customFormat="false" ht="15" hidden="false" customHeight="false" outlineLevel="0" collapsed="false">
      <c r="A683" s="5"/>
      <c r="B683" s="6"/>
      <c r="C683" s="6"/>
      <c r="D683" s="6"/>
    </row>
    <row r="684" customFormat="false" ht="15" hidden="false" customHeight="false" outlineLevel="0" collapsed="false">
      <c r="A684" s="5"/>
      <c r="B684" s="6"/>
      <c r="C684" s="6"/>
      <c r="D684" s="6"/>
    </row>
    <row r="685" customFormat="false" ht="15" hidden="false" customHeight="false" outlineLevel="0" collapsed="false">
      <c r="A685" s="5"/>
      <c r="B685" s="6"/>
      <c r="C685" s="6"/>
      <c r="D685" s="6"/>
    </row>
    <row r="686" customFormat="false" ht="15" hidden="false" customHeight="false" outlineLevel="0" collapsed="false">
      <c r="A686" s="5"/>
      <c r="B686" s="6"/>
      <c r="C686" s="6"/>
      <c r="D686" s="6"/>
    </row>
    <row r="687" customFormat="false" ht="15" hidden="false" customHeight="false" outlineLevel="0" collapsed="false">
      <c r="A687" s="5"/>
      <c r="B687" s="6"/>
      <c r="C687" s="6"/>
      <c r="D687" s="6"/>
    </row>
    <row r="688" customFormat="false" ht="15" hidden="false" customHeight="false" outlineLevel="0" collapsed="false">
      <c r="A688" s="5"/>
      <c r="B688" s="6"/>
      <c r="C688" s="6"/>
      <c r="D688" s="6"/>
    </row>
    <row r="689" customFormat="false" ht="15" hidden="false" customHeight="false" outlineLevel="0" collapsed="false">
      <c r="A689" s="5"/>
      <c r="B689" s="6"/>
      <c r="C689" s="6"/>
      <c r="D689" s="6"/>
    </row>
    <row r="690" customFormat="false" ht="15" hidden="false" customHeight="false" outlineLevel="0" collapsed="false">
      <c r="A690" s="5"/>
      <c r="B690" s="6"/>
      <c r="C690" s="6"/>
      <c r="D690" s="6"/>
    </row>
    <row r="691" customFormat="false" ht="15" hidden="false" customHeight="false" outlineLevel="0" collapsed="false">
      <c r="A691" s="5"/>
      <c r="B691" s="6"/>
      <c r="C691" s="6"/>
      <c r="D691" s="6"/>
    </row>
    <row r="692" customFormat="false" ht="15" hidden="false" customHeight="false" outlineLevel="0" collapsed="false">
      <c r="A692" s="5"/>
      <c r="B692" s="6"/>
      <c r="C692" s="6"/>
      <c r="D692" s="6"/>
    </row>
    <row r="693" customFormat="false" ht="15" hidden="false" customHeight="false" outlineLevel="0" collapsed="false">
      <c r="A693" s="5"/>
      <c r="B693" s="6"/>
      <c r="C693" s="6"/>
      <c r="D693" s="6"/>
    </row>
    <row r="694" customFormat="false" ht="15" hidden="false" customHeight="false" outlineLevel="0" collapsed="false">
      <c r="A694" s="5"/>
      <c r="B694" s="6"/>
      <c r="C694" s="6"/>
      <c r="D694" s="6"/>
    </row>
    <row r="695" customFormat="false" ht="15" hidden="false" customHeight="false" outlineLevel="0" collapsed="false">
      <c r="A695" s="5"/>
      <c r="B695" s="6"/>
      <c r="C695" s="6"/>
      <c r="D695" s="6"/>
    </row>
    <row r="696" customFormat="false" ht="15" hidden="false" customHeight="false" outlineLevel="0" collapsed="false">
      <c r="A696" s="5"/>
      <c r="B696" s="6"/>
      <c r="C696" s="6"/>
      <c r="D696" s="6"/>
    </row>
    <row r="697" customFormat="false" ht="15" hidden="false" customHeight="false" outlineLevel="0" collapsed="false">
      <c r="A697" s="5"/>
      <c r="B697" s="6"/>
      <c r="C697" s="6"/>
      <c r="D697" s="6"/>
    </row>
    <row r="698" customFormat="false" ht="15" hidden="false" customHeight="false" outlineLevel="0" collapsed="false">
      <c r="A698" s="5"/>
      <c r="B698" s="6"/>
      <c r="C698" s="6"/>
      <c r="D698" s="6"/>
    </row>
    <row r="699" customFormat="false" ht="15" hidden="false" customHeight="false" outlineLevel="0" collapsed="false">
      <c r="A699" s="5"/>
      <c r="B699" s="6"/>
      <c r="C699" s="6"/>
      <c r="D699" s="6"/>
    </row>
    <row r="700" customFormat="false" ht="15" hidden="false" customHeight="false" outlineLevel="0" collapsed="false">
      <c r="A700" s="5"/>
      <c r="B700" s="6"/>
      <c r="C700" s="6"/>
      <c r="D700" s="6"/>
    </row>
    <row r="701" customFormat="false" ht="15" hidden="false" customHeight="false" outlineLevel="0" collapsed="false">
      <c r="A701" s="5"/>
      <c r="B701" s="6"/>
      <c r="C701" s="6"/>
      <c r="D701" s="6"/>
    </row>
    <row r="702" customFormat="false" ht="15" hidden="false" customHeight="false" outlineLevel="0" collapsed="false">
      <c r="A702" s="5"/>
      <c r="B702" s="6"/>
      <c r="C702" s="6"/>
      <c r="D702" s="6"/>
    </row>
    <row r="703" customFormat="false" ht="15" hidden="false" customHeight="false" outlineLevel="0" collapsed="false">
      <c r="A703" s="5"/>
      <c r="B703" s="6"/>
      <c r="C703" s="6"/>
      <c r="D703" s="6"/>
    </row>
    <row r="704" customFormat="false" ht="15" hidden="false" customHeight="false" outlineLevel="0" collapsed="false">
      <c r="A704" s="5"/>
      <c r="B704" s="6"/>
      <c r="C704" s="6"/>
      <c r="D704" s="6"/>
    </row>
    <row r="705" customFormat="false" ht="15" hidden="false" customHeight="false" outlineLevel="0" collapsed="false">
      <c r="A705" s="5"/>
      <c r="B705" s="6"/>
      <c r="C705" s="6"/>
      <c r="D705" s="6"/>
    </row>
    <row r="706" customFormat="false" ht="15" hidden="false" customHeight="false" outlineLevel="0" collapsed="false">
      <c r="A706" s="5"/>
      <c r="B706" s="6"/>
      <c r="C706" s="6"/>
      <c r="D706" s="6"/>
    </row>
    <row r="707" customFormat="false" ht="15" hidden="false" customHeight="false" outlineLevel="0" collapsed="false">
      <c r="A707" s="5"/>
      <c r="B707" s="6"/>
      <c r="C707" s="6"/>
      <c r="D707" s="6"/>
    </row>
    <row r="708" customFormat="false" ht="15" hidden="false" customHeight="false" outlineLevel="0" collapsed="false">
      <c r="A708" s="5"/>
      <c r="B708" s="6"/>
      <c r="C708" s="6"/>
      <c r="D708" s="6"/>
    </row>
    <row r="709" customFormat="false" ht="15" hidden="false" customHeight="false" outlineLevel="0" collapsed="false">
      <c r="A709" s="5"/>
      <c r="B709" s="6"/>
      <c r="C709" s="6"/>
      <c r="D709" s="6"/>
    </row>
    <row r="710" customFormat="false" ht="15" hidden="false" customHeight="false" outlineLevel="0" collapsed="false">
      <c r="A710" s="5"/>
      <c r="B710" s="6"/>
      <c r="C710" s="6"/>
      <c r="D710" s="6"/>
    </row>
    <row r="711" customFormat="false" ht="15" hidden="false" customHeight="false" outlineLevel="0" collapsed="false">
      <c r="A711" s="5"/>
      <c r="B711" s="6"/>
      <c r="C711" s="6"/>
      <c r="D711" s="6"/>
    </row>
    <row r="712" customFormat="false" ht="15" hidden="false" customHeight="false" outlineLevel="0" collapsed="false">
      <c r="A712" s="5"/>
      <c r="B712" s="6"/>
      <c r="C712" s="6"/>
      <c r="D712" s="6"/>
    </row>
    <row r="713" customFormat="false" ht="15" hidden="false" customHeight="false" outlineLevel="0" collapsed="false">
      <c r="A713" s="5"/>
      <c r="B713" s="6"/>
      <c r="C713" s="6"/>
      <c r="D713" s="6"/>
    </row>
    <row r="714" customFormat="false" ht="15" hidden="false" customHeight="false" outlineLevel="0" collapsed="false">
      <c r="A714" s="5"/>
      <c r="B714" s="6"/>
      <c r="C714" s="6"/>
      <c r="D714" s="6"/>
    </row>
    <row r="715" customFormat="false" ht="15" hidden="false" customHeight="false" outlineLevel="0" collapsed="false">
      <c r="A715" s="5"/>
      <c r="B715" s="6"/>
      <c r="C715" s="6"/>
      <c r="D715" s="6"/>
    </row>
    <row r="716" customFormat="false" ht="15" hidden="false" customHeight="false" outlineLevel="0" collapsed="false">
      <c r="A716" s="5"/>
      <c r="B716" s="6"/>
      <c r="C716" s="6"/>
      <c r="D716" s="6"/>
    </row>
    <row r="717" customFormat="false" ht="15" hidden="false" customHeight="false" outlineLevel="0" collapsed="false">
      <c r="A717" s="5"/>
      <c r="B717" s="6"/>
      <c r="C717" s="6"/>
      <c r="D717" s="6"/>
    </row>
    <row r="718" customFormat="false" ht="15" hidden="false" customHeight="false" outlineLevel="0" collapsed="false">
      <c r="A718" s="5"/>
      <c r="B718" s="6"/>
      <c r="C718" s="6"/>
      <c r="D718" s="6"/>
    </row>
    <row r="719" customFormat="false" ht="15" hidden="false" customHeight="false" outlineLevel="0" collapsed="false">
      <c r="A719" s="5"/>
      <c r="B719" s="6"/>
      <c r="C719" s="6"/>
      <c r="D719" s="6"/>
    </row>
    <row r="720" customFormat="false" ht="15" hidden="false" customHeight="false" outlineLevel="0" collapsed="false">
      <c r="A720" s="5"/>
      <c r="B720" s="6"/>
      <c r="C720" s="6"/>
      <c r="D720" s="6"/>
    </row>
    <row r="721" customFormat="false" ht="15" hidden="false" customHeight="false" outlineLevel="0" collapsed="false">
      <c r="A721" s="5"/>
      <c r="B721" s="6"/>
      <c r="C721" s="6"/>
      <c r="D721" s="6"/>
    </row>
    <row r="722" customFormat="false" ht="15" hidden="false" customHeight="false" outlineLevel="0" collapsed="false">
      <c r="A722" s="5"/>
      <c r="B722" s="6"/>
      <c r="C722" s="6"/>
      <c r="D722" s="6"/>
    </row>
    <row r="723" customFormat="false" ht="15" hidden="false" customHeight="false" outlineLevel="0" collapsed="false">
      <c r="A723" s="5"/>
      <c r="B723" s="6"/>
      <c r="C723" s="6"/>
      <c r="D723" s="6"/>
    </row>
    <row r="724" customFormat="false" ht="15" hidden="false" customHeight="false" outlineLevel="0" collapsed="false">
      <c r="A724" s="5"/>
      <c r="B724" s="6"/>
      <c r="C724" s="6"/>
      <c r="D724" s="6"/>
    </row>
    <row r="725" customFormat="false" ht="15" hidden="false" customHeight="false" outlineLevel="0" collapsed="false">
      <c r="A725" s="5"/>
      <c r="B725" s="6"/>
      <c r="C725" s="6"/>
      <c r="D725" s="6"/>
    </row>
    <row r="726" customFormat="false" ht="15" hidden="false" customHeight="false" outlineLevel="0" collapsed="false">
      <c r="A726" s="5"/>
      <c r="B726" s="6"/>
      <c r="C726" s="6"/>
      <c r="D726" s="6"/>
    </row>
    <row r="727" customFormat="false" ht="15" hidden="false" customHeight="false" outlineLevel="0" collapsed="false">
      <c r="A727" s="5"/>
      <c r="B727" s="6"/>
      <c r="C727" s="6"/>
      <c r="D727" s="6"/>
    </row>
    <row r="728" customFormat="false" ht="15" hidden="false" customHeight="false" outlineLevel="0" collapsed="false">
      <c r="A728" s="5"/>
      <c r="B728" s="6"/>
      <c r="C728" s="6"/>
      <c r="D728" s="6"/>
    </row>
    <row r="729" customFormat="false" ht="15" hidden="false" customHeight="false" outlineLevel="0" collapsed="false">
      <c r="A729" s="5"/>
      <c r="B729" s="6"/>
      <c r="C729" s="6"/>
      <c r="D729" s="6"/>
    </row>
    <row r="730" customFormat="false" ht="15" hidden="false" customHeight="false" outlineLevel="0" collapsed="false">
      <c r="A730" s="5"/>
      <c r="B730" s="6"/>
      <c r="C730" s="6"/>
      <c r="D730" s="6"/>
    </row>
    <row r="731" customFormat="false" ht="15" hidden="false" customHeight="false" outlineLevel="0" collapsed="false">
      <c r="A731" s="5"/>
      <c r="B731" s="6"/>
      <c r="C731" s="6"/>
      <c r="D731" s="6"/>
    </row>
    <row r="732" customFormat="false" ht="15" hidden="false" customHeight="false" outlineLevel="0" collapsed="false">
      <c r="A732" s="5"/>
      <c r="B732" s="6"/>
      <c r="C732" s="6"/>
      <c r="D732" s="6"/>
    </row>
    <row r="733" customFormat="false" ht="15" hidden="false" customHeight="false" outlineLevel="0" collapsed="false">
      <c r="A733" s="5"/>
      <c r="B733" s="6"/>
      <c r="C733" s="6"/>
      <c r="D733" s="6"/>
    </row>
    <row r="734" customFormat="false" ht="15" hidden="false" customHeight="false" outlineLevel="0" collapsed="false">
      <c r="A734" s="5"/>
      <c r="B734" s="6"/>
      <c r="C734" s="6"/>
      <c r="D734" s="6"/>
    </row>
    <row r="735" customFormat="false" ht="15" hidden="false" customHeight="false" outlineLevel="0" collapsed="false">
      <c r="A735" s="5"/>
      <c r="B735" s="6"/>
      <c r="C735" s="6"/>
      <c r="D735" s="6"/>
    </row>
    <row r="736" customFormat="false" ht="15" hidden="false" customHeight="false" outlineLevel="0" collapsed="false">
      <c r="A736" s="5"/>
      <c r="B736" s="6"/>
      <c r="C736" s="6"/>
      <c r="D736" s="6"/>
    </row>
    <row r="737" customFormat="false" ht="15" hidden="false" customHeight="false" outlineLevel="0" collapsed="false">
      <c r="A737" s="5"/>
      <c r="B737" s="6"/>
      <c r="C737" s="6"/>
      <c r="D737" s="6"/>
    </row>
    <row r="738" customFormat="false" ht="15" hidden="false" customHeight="false" outlineLevel="0" collapsed="false">
      <c r="A738" s="5"/>
      <c r="B738" s="6"/>
      <c r="C738" s="6"/>
      <c r="D738" s="6"/>
    </row>
    <row r="739" customFormat="false" ht="15" hidden="false" customHeight="false" outlineLevel="0" collapsed="false">
      <c r="A739" s="5"/>
      <c r="B739" s="6"/>
      <c r="C739" s="6"/>
      <c r="D739" s="6"/>
    </row>
    <row r="740" customFormat="false" ht="15" hidden="false" customHeight="false" outlineLevel="0" collapsed="false">
      <c r="A740" s="5"/>
      <c r="B740" s="6"/>
      <c r="C740" s="6"/>
      <c r="D740" s="6"/>
    </row>
    <row r="741" customFormat="false" ht="15" hidden="false" customHeight="false" outlineLevel="0" collapsed="false">
      <c r="A741" s="5"/>
      <c r="B741" s="6"/>
      <c r="C741" s="6"/>
      <c r="D741" s="6"/>
    </row>
    <row r="742" customFormat="false" ht="15" hidden="false" customHeight="false" outlineLevel="0" collapsed="false">
      <c r="A742" s="5"/>
      <c r="B742" s="6"/>
      <c r="C742" s="6"/>
      <c r="D742" s="6"/>
    </row>
    <row r="743" customFormat="false" ht="15" hidden="false" customHeight="false" outlineLevel="0" collapsed="false">
      <c r="A743" s="5"/>
      <c r="B743" s="6"/>
      <c r="C743" s="6"/>
      <c r="D743" s="6"/>
    </row>
    <row r="744" customFormat="false" ht="15" hidden="false" customHeight="false" outlineLevel="0" collapsed="false">
      <c r="A744" s="5"/>
      <c r="B744" s="6"/>
      <c r="C744" s="6"/>
      <c r="D744" s="6"/>
    </row>
    <row r="745" customFormat="false" ht="15" hidden="false" customHeight="false" outlineLevel="0" collapsed="false">
      <c r="A745" s="5"/>
      <c r="B745" s="6"/>
      <c r="C745" s="6"/>
      <c r="D745" s="6"/>
    </row>
    <row r="746" customFormat="false" ht="15" hidden="false" customHeight="false" outlineLevel="0" collapsed="false">
      <c r="A746" s="5"/>
      <c r="B746" s="6"/>
      <c r="C746" s="6"/>
      <c r="D746" s="6"/>
    </row>
    <row r="747" customFormat="false" ht="15" hidden="false" customHeight="false" outlineLevel="0" collapsed="false">
      <c r="A747" s="5"/>
      <c r="B747" s="6"/>
      <c r="C747" s="6"/>
      <c r="D747" s="6"/>
    </row>
    <row r="748" customFormat="false" ht="15" hidden="false" customHeight="false" outlineLevel="0" collapsed="false">
      <c r="A748" s="5"/>
      <c r="B748" s="6"/>
      <c r="C748" s="6"/>
      <c r="D748" s="6"/>
    </row>
    <row r="749" customFormat="false" ht="15" hidden="false" customHeight="false" outlineLevel="0" collapsed="false">
      <c r="A749" s="5"/>
      <c r="B749" s="6"/>
      <c r="C749" s="6"/>
      <c r="D749" s="6"/>
    </row>
    <row r="750" customFormat="false" ht="15" hidden="false" customHeight="false" outlineLevel="0" collapsed="false">
      <c r="A750" s="5"/>
      <c r="B750" s="6"/>
      <c r="C750" s="6"/>
      <c r="D750" s="6"/>
    </row>
    <row r="751" customFormat="false" ht="15" hidden="false" customHeight="false" outlineLevel="0" collapsed="false">
      <c r="A751" s="5"/>
      <c r="B751" s="6"/>
      <c r="C751" s="6"/>
      <c r="D751" s="6"/>
    </row>
    <row r="752" customFormat="false" ht="15" hidden="false" customHeight="false" outlineLevel="0" collapsed="false">
      <c r="A752" s="5"/>
      <c r="B752" s="6"/>
      <c r="C752" s="6"/>
      <c r="D752" s="6"/>
    </row>
    <row r="753" customFormat="false" ht="15" hidden="false" customHeight="false" outlineLevel="0" collapsed="false">
      <c r="A753" s="5"/>
      <c r="B753" s="6"/>
      <c r="C753" s="6"/>
      <c r="D753" s="6"/>
    </row>
    <row r="754" customFormat="false" ht="15" hidden="false" customHeight="false" outlineLevel="0" collapsed="false">
      <c r="A754" s="5"/>
      <c r="B754" s="6"/>
      <c r="C754" s="6"/>
      <c r="D754" s="6"/>
    </row>
    <row r="755" customFormat="false" ht="15" hidden="false" customHeight="false" outlineLevel="0" collapsed="false">
      <c r="A755" s="5"/>
      <c r="B755" s="6"/>
      <c r="C755" s="6"/>
      <c r="D755" s="6"/>
    </row>
    <row r="756" customFormat="false" ht="15" hidden="false" customHeight="false" outlineLevel="0" collapsed="false">
      <c r="A756" s="5"/>
      <c r="B756" s="6"/>
      <c r="C756" s="6"/>
      <c r="D756" s="6"/>
    </row>
    <row r="757" customFormat="false" ht="15" hidden="false" customHeight="false" outlineLevel="0" collapsed="false">
      <c r="A757" s="5"/>
      <c r="B757" s="6"/>
      <c r="C757" s="6"/>
      <c r="D757" s="6"/>
    </row>
    <row r="758" customFormat="false" ht="15" hidden="false" customHeight="false" outlineLevel="0" collapsed="false">
      <c r="A758" s="5"/>
      <c r="B758" s="6"/>
      <c r="C758" s="6"/>
      <c r="D758" s="6"/>
    </row>
    <row r="759" customFormat="false" ht="15" hidden="false" customHeight="false" outlineLevel="0" collapsed="false">
      <c r="A759" s="5"/>
      <c r="B759" s="6"/>
      <c r="C759" s="6"/>
      <c r="D759" s="6"/>
    </row>
    <row r="760" customFormat="false" ht="15" hidden="false" customHeight="false" outlineLevel="0" collapsed="false">
      <c r="A760" s="5"/>
      <c r="B760" s="6"/>
      <c r="C760" s="6"/>
      <c r="D760" s="6"/>
    </row>
    <row r="761" customFormat="false" ht="15" hidden="false" customHeight="false" outlineLevel="0" collapsed="false">
      <c r="A761" s="5"/>
      <c r="B761" s="6"/>
      <c r="C761" s="6"/>
      <c r="D761" s="6"/>
    </row>
    <row r="762" customFormat="false" ht="15" hidden="false" customHeight="false" outlineLevel="0" collapsed="false">
      <c r="A762" s="5"/>
      <c r="B762" s="6"/>
      <c r="C762" s="6"/>
      <c r="D762" s="6"/>
    </row>
    <row r="763" customFormat="false" ht="15" hidden="false" customHeight="false" outlineLevel="0" collapsed="false">
      <c r="A763" s="5"/>
      <c r="B763" s="6"/>
      <c r="C763" s="6"/>
      <c r="D763" s="6"/>
    </row>
    <row r="764" customFormat="false" ht="15" hidden="false" customHeight="false" outlineLevel="0" collapsed="false">
      <c r="A764" s="5"/>
      <c r="B764" s="6"/>
      <c r="C764" s="6"/>
      <c r="D764" s="6"/>
    </row>
    <row r="765" customFormat="false" ht="15" hidden="false" customHeight="false" outlineLevel="0" collapsed="false">
      <c r="A765" s="5"/>
      <c r="B765" s="6"/>
      <c r="C765" s="6"/>
      <c r="D765" s="6"/>
    </row>
    <row r="766" customFormat="false" ht="15" hidden="false" customHeight="false" outlineLevel="0" collapsed="false">
      <c r="A766" s="5"/>
      <c r="B766" s="6"/>
      <c r="C766" s="6"/>
      <c r="D766" s="6"/>
    </row>
    <row r="767" customFormat="false" ht="15" hidden="false" customHeight="false" outlineLevel="0" collapsed="false">
      <c r="A767" s="5"/>
      <c r="B767" s="6"/>
      <c r="C767" s="6"/>
      <c r="D767" s="6"/>
    </row>
    <row r="768" customFormat="false" ht="15" hidden="false" customHeight="false" outlineLevel="0" collapsed="false">
      <c r="A768" s="5"/>
      <c r="B768" s="6"/>
      <c r="C768" s="6"/>
      <c r="D768" s="6"/>
    </row>
    <row r="769" customFormat="false" ht="15" hidden="false" customHeight="false" outlineLevel="0" collapsed="false">
      <c r="A769" s="5"/>
      <c r="B769" s="6"/>
      <c r="C769" s="6"/>
      <c r="D769" s="6"/>
    </row>
    <row r="770" customFormat="false" ht="15" hidden="false" customHeight="false" outlineLevel="0" collapsed="false">
      <c r="A770" s="5"/>
      <c r="B770" s="6"/>
      <c r="C770" s="6"/>
      <c r="D770" s="6"/>
    </row>
    <row r="771" customFormat="false" ht="15" hidden="false" customHeight="false" outlineLevel="0" collapsed="false">
      <c r="A771" s="5"/>
      <c r="B771" s="6"/>
      <c r="C771" s="6"/>
      <c r="D771" s="6"/>
    </row>
    <row r="772" customFormat="false" ht="15" hidden="false" customHeight="false" outlineLevel="0" collapsed="false">
      <c r="A772" s="5"/>
      <c r="B772" s="6"/>
      <c r="C772" s="6"/>
      <c r="D772" s="6"/>
    </row>
    <row r="773" customFormat="false" ht="15" hidden="false" customHeight="false" outlineLevel="0" collapsed="false">
      <c r="A773" s="5"/>
      <c r="B773" s="6"/>
      <c r="C773" s="6"/>
      <c r="D773" s="6"/>
    </row>
    <row r="774" customFormat="false" ht="15" hidden="false" customHeight="false" outlineLevel="0" collapsed="false">
      <c r="A774" s="5"/>
      <c r="B774" s="6"/>
      <c r="C774" s="6"/>
      <c r="D774" s="6"/>
    </row>
    <row r="775" customFormat="false" ht="15" hidden="false" customHeight="false" outlineLevel="0" collapsed="false">
      <c r="A775" s="5"/>
      <c r="B775" s="6"/>
      <c r="C775" s="6"/>
      <c r="D775" s="6"/>
    </row>
    <row r="776" customFormat="false" ht="15" hidden="false" customHeight="false" outlineLevel="0" collapsed="false">
      <c r="A776" s="5"/>
      <c r="B776" s="6"/>
      <c r="C776" s="6"/>
      <c r="D776" s="6"/>
    </row>
    <row r="777" customFormat="false" ht="15" hidden="false" customHeight="false" outlineLevel="0" collapsed="false">
      <c r="A777" s="5"/>
      <c r="B777" s="6"/>
      <c r="C777" s="6"/>
      <c r="D777" s="6"/>
    </row>
    <row r="778" customFormat="false" ht="15" hidden="false" customHeight="false" outlineLevel="0" collapsed="false">
      <c r="A778" s="5"/>
      <c r="B778" s="6"/>
      <c r="C778" s="6"/>
      <c r="D778" s="6"/>
    </row>
    <row r="779" customFormat="false" ht="15" hidden="false" customHeight="false" outlineLevel="0" collapsed="false">
      <c r="A779" s="5"/>
      <c r="B779" s="6"/>
      <c r="C779" s="6"/>
      <c r="D779" s="6"/>
    </row>
    <row r="780" customFormat="false" ht="15" hidden="false" customHeight="false" outlineLevel="0" collapsed="false">
      <c r="A780" s="5"/>
      <c r="B780" s="6"/>
      <c r="C780" s="6"/>
      <c r="D780" s="6"/>
    </row>
    <row r="781" customFormat="false" ht="15" hidden="false" customHeight="false" outlineLevel="0" collapsed="false">
      <c r="A781" s="5"/>
      <c r="B781" s="6"/>
      <c r="C781" s="6"/>
      <c r="D781" s="6"/>
    </row>
    <row r="782" customFormat="false" ht="15" hidden="false" customHeight="false" outlineLevel="0" collapsed="false">
      <c r="A782" s="5"/>
      <c r="B782" s="6"/>
      <c r="C782" s="6"/>
      <c r="D782" s="6"/>
    </row>
    <row r="783" customFormat="false" ht="15" hidden="false" customHeight="false" outlineLevel="0" collapsed="false">
      <c r="A783" s="5"/>
      <c r="B783" s="6"/>
      <c r="C783" s="6"/>
      <c r="D783" s="6"/>
    </row>
    <row r="784" customFormat="false" ht="15" hidden="false" customHeight="false" outlineLevel="0" collapsed="false">
      <c r="A784" s="5"/>
      <c r="B784" s="6"/>
      <c r="C784" s="6"/>
      <c r="D784" s="6"/>
    </row>
    <row r="785" customFormat="false" ht="15" hidden="false" customHeight="false" outlineLevel="0" collapsed="false">
      <c r="A785" s="5"/>
      <c r="B785" s="6"/>
      <c r="C785" s="6"/>
      <c r="D785" s="6"/>
    </row>
    <row r="786" customFormat="false" ht="15" hidden="false" customHeight="false" outlineLevel="0" collapsed="false">
      <c r="A786" s="5"/>
      <c r="B786" s="6"/>
      <c r="C786" s="6"/>
      <c r="D786" s="6"/>
    </row>
    <row r="787" customFormat="false" ht="15" hidden="false" customHeight="false" outlineLevel="0" collapsed="false">
      <c r="A787" s="5"/>
      <c r="B787" s="6"/>
      <c r="C787" s="6"/>
      <c r="D787" s="6"/>
    </row>
    <row r="788" customFormat="false" ht="15" hidden="false" customHeight="false" outlineLevel="0" collapsed="false">
      <c r="A788" s="5"/>
      <c r="B788" s="6"/>
      <c r="C788" s="6"/>
      <c r="D788" s="6"/>
    </row>
    <row r="789" customFormat="false" ht="15" hidden="false" customHeight="false" outlineLevel="0" collapsed="false">
      <c r="A789" s="5"/>
      <c r="B789" s="6"/>
      <c r="C789" s="6"/>
      <c r="D789" s="6"/>
    </row>
    <row r="790" customFormat="false" ht="15" hidden="false" customHeight="false" outlineLevel="0" collapsed="false">
      <c r="A790" s="5"/>
      <c r="B790" s="6"/>
      <c r="C790" s="6"/>
      <c r="D790" s="6"/>
    </row>
    <row r="791" customFormat="false" ht="15" hidden="false" customHeight="false" outlineLevel="0" collapsed="false">
      <c r="A791" s="5"/>
      <c r="B791" s="6"/>
      <c r="C791" s="6"/>
      <c r="D791" s="6"/>
    </row>
    <row r="792" customFormat="false" ht="15" hidden="false" customHeight="false" outlineLevel="0" collapsed="false">
      <c r="A792" s="5"/>
      <c r="B792" s="6"/>
      <c r="C792" s="6"/>
      <c r="D792" s="6"/>
    </row>
    <row r="793" customFormat="false" ht="15" hidden="false" customHeight="false" outlineLevel="0" collapsed="false">
      <c r="A793" s="5"/>
      <c r="B793" s="6"/>
      <c r="C793" s="6"/>
      <c r="D793" s="6"/>
    </row>
    <row r="794" customFormat="false" ht="15" hidden="false" customHeight="false" outlineLevel="0" collapsed="false">
      <c r="A794" s="5"/>
      <c r="B794" s="6"/>
      <c r="C794" s="6"/>
      <c r="D794" s="6"/>
    </row>
    <row r="795" customFormat="false" ht="15" hidden="false" customHeight="false" outlineLevel="0" collapsed="false">
      <c r="A795" s="5"/>
      <c r="B795" s="6"/>
      <c r="C795" s="6"/>
      <c r="D795" s="6"/>
    </row>
    <row r="796" customFormat="false" ht="15" hidden="false" customHeight="false" outlineLevel="0" collapsed="false">
      <c r="A796" s="5"/>
      <c r="B796" s="6"/>
      <c r="C796" s="6"/>
      <c r="D796" s="6"/>
    </row>
    <row r="797" customFormat="false" ht="15" hidden="false" customHeight="false" outlineLevel="0" collapsed="false">
      <c r="A797" s="5"/>
      <c r="B797" s="6"/>
      <c r="C797" s="6"/>
      <c r="D797" s="6"/>
    </row>
    <row r="798" customFormat="false" ht="15" hidden="false" customHeight="false" outlineLevel="0" collapsed="false">
      <c r="A798" s="5"/>
      <c r="B798" s="6"/>
      <c r="C798" s="6"/>
      <c r="D798" s="6"/>
    </row>
    <row r="799" customFormat="false" ht="15" hidden="false" customHeight="false" outlineLevel="0" collapsed="false">
      <c r="A799" s="5"/>
      <c r="B799" s="6"/>
      <c r="C799" s="6"/>
      <c r="D799" s="6"/>
    </row>
    <row r="800" customFormat="false" ht="15" hidden="false" customHeight="false" outlineLevel="0" collapsed="false">
      <c r="A800" s="5"/>
      <c r="B800" s="6"/>
      <c r="C800" s="6"/>
      <c r="D800" s="6"/>
    </row>
    <row r="801" customFormat="false" ht="15" hidden="false" customHeight="false" outlineLevel="0" collapsed="false">
      <c r="A801" s="5"/>
      <c r="B801" s="6"/>
      <c r="C801" s="6"/>
      <c r="D801" s="6"/>
    </row>
    <row r="802" customFormat="false" ht="15" hidden="false" customHeight="false" outlineLevel="0" collapsed="false">
      <c r="A802" s="5"/>
      <c r="B802" s="6"/>
      <c r="C802" s="6"/>
      <c r="D802" s="6"/>
    </row>
    <row r="803" customFormat="false" ht="15" hidden="false" customHeight="false" outlineLevel="0" collapsed="false">
      <c r="A803" s="5"/>
      <c r="B803" s="6"/>
      <c r="C803" s="6"/>
      <c r="D803" s="6"/>
    </row>
    <row r="804" customFormat="false" ht="15" hidden="false" customHeight="false" outlineLevel="0" collapsed="false">
      <c r="A804" s="5"/>
      <c r="B804" s="6"/>
      <c r="C804" s="6"/>
      <c r="D804" s="6"/>
    </row>
    <row r="805" customFormat="false" ht="15" hidden="false" customHeight="false" outlineLevel="0" collapsed="false">
      <c r="A805" s="5"/>
      <c r="B805" s="6"/>
      <c r="C805" s="6"/>
      <c r="D805" s="6"/>
    </row>
    <row r="806" customFormat="false" ht="15" hidden="false" customHeight="false" outlineLevel="0" collapsed="false">
      <c r="A806" s="5"/>
      <c r="B806" s="6"/>
      <c r="C806" s="6"/>
      <c r="D806" s="6"/>
    </row>
    <row r="807" customFormat="false" ht="15" hidden="false" customHeight="false" outlineLevel="0" collapsed="false">
      <c r="A807" s="5"/>
      <c r="B807" s="6"/>
      <c r="C807" s="6"/>
      <c r="D807" s="6"/>
    </row>
    <row r="808" customFormat="false" ht="15" hidden="false" customHeight="false" outlineLevel="0" collapsed="false">
      <c r="A808" s="5"/>
      <c r="B808" s="6"/>
      <c r="C808" s="6"/>
      <c r="D808" s="6"/>
    </row>
    <row r="809" customFormat="false" ht="15" hidden="false" customHeight="false" outlineLevel="0" collapsed="false">
      <c r="A809" s="5"/>
      <c r="B809" s="6"/>
      <c r="C809" s="6"/>
      <c r="D809" s="6"/>
    </row>
    <row r="810" customFormat="false" ht="15" hidden="false" customHeight="false" outlineLevel="0" collapsed="false">
      <c r="A810" s="5"/>
      <c r="B810" s="6"/>
      <c r="C810" s="6"/>
      <c r="D810" s="6"/>
    </row>
    <row r="811" customFormat="false" ht="15" hidden="false" customHeight="false" outlineLevel="0" collapsed="false">
      <c r="A811" s="5"/>
      <c r="B811" s="6"/>
      <c r="C811" s="6"/>
      <c r="D811" s="6"/>
    </row>
    <row r="812" customFormat="false" ht="15" hidden="false" customHeight="false" outlineLevel="0" collapsed="false">
      <c r="A812" s="5"/>
      <c r="B812" s="6"/>
      <c r="C812" s="6"/>
      <c r="D812" s="6"/>
    </row>
    <row r="813" customFormat="false" ht="15" hidden="false" customHeight="false" outlineLevel="0" collapsed="false">
      <c r="A813" s="5"/>
      <c r="B813" s="6"/>
      <c r="C813" s="6"/>
      <c r="D813" s="6"/>
    </row>
    <row r="814" customFormat="false" ht="15" hidden="false" customHeight="false" outlineLevel="0" collapsed="false">
      <c r="A814" s="5"/>
      <c r="B814" s="6"/>
      <c r="C814" s="6"/>
      <c r="D814" s="6"/>
    </row>
    <row r="815" customFormat="false" ht="15" hidden="false" customHeight="false" outlineLevel="0" collapsed="false">
      <c r="A815" s="5"/>
      <c r="B815" s="6"/>
      <c r="C815" s="6"/>
      <c r="D815" s="6"/>
    </row>
    <row r="816" customFormat="false" ht="15" hidden="false" customHeight="false" outlineLevel="0" collapsed="false">
      <c r="A816" s="5"/>
      <c r="B816" s="6"/>
      <c r="C816" s="6"/>
      <c r="D816" s="6"/>
    </row>
    <row r="817" customFormat="false" ht="15" hidden="false" customHeight="false" outlineLevel="0" collapsed="false">
      <c r="A817" s="5"/>
      <c r="B817" s="6"/>
      <c r="C817" s="6"/>
      <c r="D817" s="6"/>
    </row>
    <row r="818" customFormat="false" ht="15" hidden="false" customHeight="false" outlineLevel="0" collapsed="false">
      <c r="A818" s="5"/>
      <c r="B818" s="6"/>
      <c r="C818" s="6"/>
      <c r="D818" s="6"/>
    </row>
    <row r="819" customFormat="false" ht="15" hidden="false" customHeight="false" outlineLevel="0" collapsed="false">
      <c r="A819" s="5"/>
      <c r="B819" s="6"/>
      <c r="C819" s="6"/>
      <c r="D819" s="6"/>
    </row>
    <row r="820" customFormat="false" ht="15" hidden="false" customHeight="false" outlineLevel="0" collapsed="false">
      <c r="A820" s="5"/>
      <c r="B820" s="6"/>
      <c r="C820" s="6"/>
      <c r="D820" s="6"/>
    </row>
    <row r="821" customFormat="false" ht="15" hidden="false" customHeight="false" outlineLevel="0" collapsed="false">
      <c r="A821" s="5"/>
      <c r="B821" s="6"/>
      <c r="C821" s="6"/>
      <c r="D821" s="6"/>
    </row>
    <row r="822" customFormat="false" ht="15" hidden="false" customHeight="false" outlineLevel="0" collapsed="false">
      <c r="A822" s="5"/>
      <c r="B822" s="6"/>
      <c r="C822" s="6"/>
      <c r="D822" s="6"/>
    </row>
    <row r="823" customFormat="false" ht="15" hidden="false" customHeight="false" outlineLevel="0" collapsed="false">
      <c r="A823" s="5"/>
      <c r="B823" s="6"/>
      <c r="C823" s="6"/>
      <c r="D823" s="6"/>
    </row>
    <row r="824" customFormat="false" ht="15" hidden="false" customHeight="false" outlineLevel="0" collapsed="false">
      <c r="A824" s="5"/>
      <c r="B824" s="6"/>
      <c r="C824" s="6"/>
      <c r="D824" s="6"/>
    </row>
    <row r="825" customFormat="false" ht="15" hidden="false" customHeight="false" outlineLevel="0" collapsed="false">
      <c r="A825" s="5"/>
      <c r="B825" s="6"/>
      <c r="C825" s="6"/>
      <c r="D825" s="6"/>
    </row>
    <row r="826" customFormat="false" ht="15" hidden="false" customHeight="false" outlineLevel="0" collapsed="false">
      <c r="A826" s="5"/>
      <c r="B826" s="6"/>
      <c r="C826" s="6"/>
      <c r="D826" s="6"/>
    </row>
    <row r="827" customFormat="false" ht="15" hidden="false" customHeight="false" outlineLevel="0" collapsed="false">
      <c r="A827" s="5"/>
      <c r="B827" s="6"/>
      <c r="C827" s="6"/>
      <c r="D827" s="6"/>
    </row>
    <row r="828" customFormat="false" ht="15" hidden="false" customHeight="false" outlineLevel="0" collapsed="false">
      <c r="A828" s="5"/>
      <c r="B828" s="6"/>
      <c r="C828" s="6"/>
      <c r="D828" s="6"/>
    </row>
    <row r="829" customFormat="false" ht="15" hidden="false" customHeight="false" outlineLevel="0" collapsed="false">
      <c r="A829" s="5"/>
      <c r="B829" s="6"/>
      <c r="C829" s="6"/>
      <c r="D829" s="6"/>
    </row>
    <row r="830" customFormat="false" ht="15" hidden="false" customHeight="false" outlineLevel="0" collapsed="false">
      <c r="A830" s="5"/>
      <c r="B830" s="6"/>
      <c r="C830" s="6"/>
      <c r="D830" s="6"/>
    </row>
    <row r="831" customFormat="false" ht="15" hidden="false" customHeight="false" outlineLevel="0" collapsed="false">
      <c r="A831" s="5"/>
      <c r="B831" s="6"/>
      <c r="C831" s="6"/>
      <c r="D831" s="6"/>
    </row>
    <row r="832" customFormat="false" ht="15" hidden="false" customHeight="false" outlineLevel="0" collapsed="false">
      <c r="A832" s="5"/>
      <c r="B832" s="6"/>
      <c r="C832" s="6"/>
      <c r="D832" s="6"/>
    </row>
    <row r="833" customFormat="false" ht="15" hidden="false" customHeight="false" outlineLevel="0" collapsed="false">
      <c r="A833" s="5"/>
      <c r="B833" s="6"/>
      <c r="C833" s="6"/>
      <c r="D833" s="6"/>
    </row>
    <row r="834" customFormat="false" ht="15" hidden="false" customHeight="false" outlineLevel="0" collapsed="false">
      <c r="A834" s="5"/>
      <c r="B834" s="6"/>
      <c r="C834" s="6"/>
      <c r="D834" s="6"/>
    </row>
    <row r="835" customFormat="false" ht="15" hidden="false" customHeight="false" outlineLevel="0" collapsed="false">
      <c r="A835" s="5"/>
      <c r="B835" s="6"/>
      <c r="C835" s="6"/>
      <c r="D835" s="6"/>
    </row>
    <row r="836" customFormat="false" ht="15" hidden="false" customHeight="false" outlineLevel="0" collapsed="false">
      <c r="A836" s="5"/>
      <c r="B836" s="6"/>
      <c r="C836" s="6"/>
      <c r="D836" s="6"/>
    </row>
    <row r="837" customFormat="false" ht="15" hidden="false" customHeight="false" outlineLevel="0" collapsed="false">
      <c r="A837" s="5"/>
      <c r="B837" s="6"/>
      <c r="C837" s="6"/>
      <c r="D837" s="6"/>
    </row>
    <row r="838" customFormat="false" ht="15" hidden="false" customHeight="false" outlineLevel="0" collapsed="false">
      <c r="A838" s="5"/>
      <c r="B838" s="6"/>
      <c r="C838" s="6"/>
      <c r="D838" s="6"/>
    </row>
    <row r="839" customFormat="false" ht="15" hidden="false" customHeight="false" outlineLevel="0" collapsed="false">
      <c r="A839" s="5"/>
      <c r="B839" s="6"/>
      <c r="C839" s="6"/>
      <c r="D839" s="6"/>
    </row>
    <row r="840" customFormat="false" ht="15" hidden="false" customHeight="false" outlineLevel="0" collapsed="false">
      <c r="A840" s="5"/>
      <c r="B840" s="6"/>
      <c r="C840" s="6"/>
      <c r="D840" s="6"/>
    </row>
    <row r="841" customFormat="false" ht="15" hidden="false" customHeight="false" outlineLevel="0" collapsed="false">
      <c r="A841" s="5"/>
      <c r="B841" s="6"/>
      <c r="C841" s="6"/>
      <c r="D841" s="6"/>
    </row>
    <row r="842" customFormat="false" ht="15" hidden="false" customHeight="false" outlineLevel="0" collapsed="false">
      <c r="A842" s="5"/>
      <c r="B842" s="6"/>
      <c r="C842" s="6"/>
      <c r="D842" s="6"/>
    </row>
    <row r="843" customFormat="false" ht="15" hidden="false" customHeight="false" outlineLevel="0" collapsed="false">
      <c r="A843" s="5"/>
      <c r="B843" s="6"/>
      <c r="C843" s="6"/>
      <c r="D843" s="6"/>
    </row>
    <row r="844" customFormat="false" ht="15" hidden="false" customHeight="false" outlineLevel="0" collapsed="false">
      <c r="A844" s="5"/>
      <c r="B844" s="6"/>
      <c r="C844" s="6"/>
      <c r="D844" s="6"/>
    </row>
    <row r="845" customFormat="false" ht="15" hidden="false" customHeight="false" outlineLevel="0" collapsed="false">
      <c r="A845" s="5"/>
      <c r="B845" s="6"/>
      <c r="C845" s="6"/>
      <c r="D845" s="6"/>
    </row>
    <row r="846" customFormat="false" ht="15" hidden="false" customHeight="false" outlineLevel="0" collapsed="false">
      <c r="A846" s="5"/>
      <c r="B846" s="6"/>
      <c r="C846" s="6"/>
      <c r="D846" s="6"/>
    </row>
    <row r="847" customFormat="false" ht="15" hidden="false" customHeight="false" outlineLevel="0" collapsed="false">
      <c r="A847" s="5"/>
      <c r="B847" s="6"/>
      <c r="C847" s="6"/>
      <c r="D847" s="6"/>
    </row>
    <row r="848" customFormat="false" ht="15" hidden="false" customHeight="false" outlineLevel="0" collapsed="false">
      <c r="A848" s="5"/>
      <c r="B848" s="6"/>
      <c r="C848" s="6"/>
      <c r="D848" s="6"/>
    </row>
    <row r="849" customFormat="false" ht="15" hidden="false" customHeight="false" outlineLevel="0" collapsed="false">
      <c r="A849" s="5"/>
      <c r="B849" s="6"/>
      <c r="C849" s="6"/>
      <c r="D849" s="6"/>
    </row>
    <row r="850" customFormat="false" ht="15" hidden="false" customHeight="false" outlineLevel="0" collapsed="false">
      <c r="A850" s="5"/>
      <c r="B850" s="6"/>
      <c r="C850" s="6"/>
      <c r="D850" s="6"/>
    </row>
    <row r="851" customFormat="false" ht="15" hidden="false" customHeight="false" outlineLevel="0" collapsed="false">
      <c r="A851" s="5"/>
      <c r="B851" s="6"/>
      <c r="C851" s="6"/>
      <c r="D851" s="6"/>
    </row>
    <row r="852" customFormat="false" ht="15" hidden="false" customHeight="false" outlineLevel="0" collapsed="false">
      <c r="A852" s="5"/>
      <c r="B852" s="6"/>
      <c r="C852" s="6"/>
      <c r="D852" s="6"/>
    </row>
    <row r="853" customFormat="false" ht="15" hidden="false" customHeight="false" outlineLevel="0" collapsed="false">
      <c r="A853" s="5"/>
      <c r="B853" s="6"/>
      <c r="C853" s="6"/>
      <c r="D853" s="6"/>
    </row>
    <row r="854" customFormat="false" ht="15" hidden="false" customHeight="false" outlineLevel="0" collapsed="false">
      <c r="A854" s="5"/>
      <c r="B854" s="6"/>
      <c r="C854" s="6"/>
      <c r="D854" s="6"/>
    </row>
    <row r="855" customFormat="false" ht="15" hidden="false" customHeight="false" outlineLevel="0" collapsed="false">
      <c r="A855" s="5"/>
      <c r="B855" s="6"/>
      <c r="C855" s="6"/>
      <c r="D855" s="6"/>
    </row>
    <row r="856" customFormat="false" ht="15" hidden="false" customHeight="false" outlineLevel="0" collapsed="false">
      <c r="A856" s="5"/>
      <c r="B856" s="6"/>
      <c r="C856" s="6"/>
      <c r="D856" s="6"/>
    </row>
    <row r="857" customFormat="false" ht="15" hidden="false" customHeight="false" outlineLevel="0" collapsed="false">
      <c r="A857" s="5"/>
      <c r="B857" s="6"/>
      <c r="C857" s="6"/>
      <c r="D857" s="6"/>
    </row>
    <row r="858" customFormat="false" ht="15" hidden="false" customHeight="false" outlineLevel="0" collapsed="false">
      <c r="A858" s="5"/>
      <c r="B858" s="6"/>
      <c r="C858" s="6"/>
      <c r="D858" s="6"/>
    </row>
    <row r="859" customFormat="false" ht="15" hidden="false" customHeight="false" outlineLevel="0" collapsed="false">
      <c r="A859" s="5"/>
      <c r="B859" s="6"/>
      <c r="C859" s="6"/>
      <c r="D859" s="6"/>
    </row>
    <row r="860" customFormat="false" ht="15" hidden="false" customHeight="false" outlineLevel="0" collapsed="false">
      <c r="A860" s="5"/>
      <c r="B860" s="6"/>
      <c r="C860" s="6"/>
      <c r="D860" s="6"/>
    </row>
    <row r="861" customFormat="false" ht="15" hidden="false" customHeight="false" outlineLevel="0" collapsed="false">
      <c r="A861" s="5"/>
      <c r="B861" s="6"/>
      <c r="C861" s="6"/>
      <c r="D861" s="6"/>
    </row>
    <row r="862" customFormat="false" ht="15" hidden="false" customHeight="false" outlineLevel="0" collapsed="false">
      <c r="A862" s="5"/>
      <c r="B862" s="6"/>
      <c r="C862" s="6"/>
      <c r="D862" s="6"/>
    </row>
    <row r="863" customFormat="false" ht="15" hidden="false" customHeight="false" outlineLevel="0" collapsed="false">
      <c r="A863" s="5"/>
      <c r="B863" s="6"/>
      <c r="C863" s="6"/>
      <c r="D863" s="6"/>
    </row>
    <row r="864" customFormat="false" ht="15" hidden="false" customHeight="false" outlineLevel="0" collapsed="false">
      <c r="A864" s="5"/>
      <c r="B864" s="6"/>
      <c r="C864" s="6"/>
      <c r="D864" s="6"/>
    </row>
    <row r="865" customFormat="false" ht="15" hidden="false" customHeight="false" outlineLevel="0" collapsed="false">
      <c r="A865" s="5"/>
      <c r="B865" s="6"/>
      <c r="C865" s="6"/>
      <c r="D865" s="6"/>
    </row>
    <row r="866" customFormat="false" ht="15" hidden="false" customHeight="false" outlineLevel="0" collapsed="false">
      <c r="A866" s="5"/>
      <c r="B866" s="6"/>
      <c r="C866" s="6"/>
      <c r="D866" s="6"/>
    </row>
    <row r="867" customFormat="false" ht="15" hidden="false" customHeight="false" outlineLevel="0" collapsed="false">
      <c r="A867" s="5"/>
      <c r="B867" s="6"/>
      <c r="C867" s="6"/>
      <c r="D867" s="6"/>
    </row>
    <row r="868" customFormat="false" ht="15" hidden="false" customHeight="false" outlineLevel="0" collapsed="false">
      <c r="A868" s="5"/>
      <c r="B868" s="6"/>
      <c r="C868" s="6"/>
      <c r="D868" s="6"/>
    </row>
    <row r="869" customFormat="false" ht="15" hidden="false" customHeight="false" outlineLevel="0" collapsed="false">
      <c r="A869" s="5"/>
      <c r="B869" s="6"/>
      <c r="C869" s="6"/>
      <c r="D869" s="6"/>
    </row>
    <row r="870" customFormat="false" ht="15" hidden="false" customHeight="false" outlineLevel="0" collapsed="false">
      <c r="A870" s="5"/>
      <c r="B870" s="6"/>
      <c r="C870" s="6"/>
      <c r="D870" s="6"/>
    </row>
    <row r="871" customFormat="false" ht="15" hidden="false" customHeight="false" outlineLevel="0" collapsed="false">
      <c r="A871" s="5"/>
      <c r="B871" s="6"/>
      <c r="C871" s="6"/>
      <c r="D871" s="6"/>
    </row>
    <row r="872" customFormat="false" ht="15" hidden="false" customHeight="false" outlineLevel="0" collapsed="false">
      <c r="A872" s="5"/>
      <c r="B872" s="6"/>
      <c r="C872" s="6"/>
      <c r="D872" s="6"/>
    </row>
    <row r="873" customFormat="false" ht="15" hidden="false" customHeight="false" outlineLevel="0" collapsed="false">
      <c r="A873" s="5"/>
      <c r="B873" s="6"/>
      <c r="C873" s="6"/>
      <c r="D873" s="6"/>
    </row>
    <row r="874" customFormat="false" ht="15" hidden="false" customHeight="false" outlineLevel="0" collapsed="false">
      <c r="A874" s="5"/>
      <c r="B874" s="6"/>
      <c r="C874" s="6"/>
      <c r="D874" s="6"/>
    </row>
    <row r="875" customFormat="false" ht="15" hidden="false" customHeight="false" outlineLevel="0" collapsed="false">
      <c r="A875" s="5"/>
      <c r="B875" s="6"/>
      <c r="C875" s="6"/>
      <c r="D875" s="6"/>
    </row>
    <row r="876" customFormat="false" ht="15" hidden="false" customHeight="false" outlineLevel="0" collapsed="false">
      <c r="A876" s="5"/>
      <c r="B876" s="6"/>
      <c r="C876" s="6"/>
      <c r="D876" s="6"/>
    </row>
    <row r="877" customFormat="false" ht="15" hidden="false" customHeight="false" outlineLevel="0" collapsed="false">
      <c r="A877" s="5"/>
      <c r="B877" s="6"/>
      <c r="C877" s="6"/>
      <c r="D877" s="6"/>
    </row>
    <row r="878" customFormat="false" ht="15" hidden="false" customHeight="false" outlineLevel="0" collapsed="false">
      <c r="A878" s="5"/>
      <c r="B878" s="6"/>
      <c r="C878" s="6"/>
      <c r="D878" s="6"/>
    </row>
    <row r="879" customFormat="false" ht="15" hidden="false" customHeight="false" outlineLevel="0" collapsed="false">
      <c r="A879" s="5"/>
      <c r="B879" s="6"/>
      <c r="C879" s="6"/>
      <c r="D879" s="6"/>
    </row>
    <row r="880" customFormat="false" ht="15" hidden="false" customHeight="false" outlineLevel="0" collapsed="false">
      <c r="A880" s="5"/>
      <c r="B880" s="6"/>
      <c r="C880" s="6"/>
      <c r="D880" s="6"/>
    </row>
    <row r="881" customFormat="false" ht="15" hidden="false" customHeight="false" outlineLevel="0" collapsed="false">
      <c r="A881" s="5"/>
      <c r="B881" s="6"/>
      <c r="C881" s="6"/>
      <c r="D881" s="6"/>
    </row>
    <row r="882" customFormat="false" ht="15" hidden="false" customHeight="false" outlineLevel="0" collapsed="false">
      <c r="A882" s="5"/>
      <c r="B882" s="6"/>
      <c r="C882" s="6"/>
      <c r="D882" s="6"/>
    </row>
    <row r="883" customFormat="false" ht="15" hidden="false" customHeight="false" outlineLevel="0" collapsed="false">
      <c r="A883" s="5"/>
      <c r="B883" s="6"/>
      <c r="C883" s="6"/>
      <c r="D883" s="6"/>
    </row>
    <row r="884" customFormat="false" ht="15" hidden="false" customHeight="false" outlineLevel="0" collapsed="false">
      <c r="A884" s="5"/>
      <c r="B884" s="6"/>
      <c r="C884" s="6"/>
      <c r="D884" s="6"/>
    </row>
    <row r="885" customFormat="false" ht="15" hidden="false" customHeight="false" outlineLevel="0" collapsed="false">
      <c r="A885" s="5"/>
      <c r="B885" s="6"/>
      <c r="C885" s="6"/>
      <c r="D885" s="6"/>
    </row>
    <row r="886" customFormat="false" ht="15" hidden="false" customHeight="false" outlineLevel="0" collapsed="false">
      <c r="A886" s="5"/>
      <c r="B886" s="6"/>
      <c r="C886" s="6"/>
      <c r="D886" s="6"/>
    </row>
    <row r="887" customFormat="false" ht="15" hidden="false" customHeight="false" outlineLevel="0" collapsed="false">
      <c r="A887" s="5"/>
      <c r="B887" s="6"/>
      <c r="C887" s="6"/>
      <c r="D887" s="6"/>
    </row>
    <row r="888" customFormat="false" ht="15" hidden="false" customHeight="false" outlineLevel="0" collapsed="false">
      <c r="A888" s="5"/>
      <c r="B888" s="6"/>
      <c r="C888" s="6"/>
      <c r="D888" s="6"/>
    </row>
    <row r="889" customFormat="false" ht="15" hidden="false" customHeight="false" outlineLevel="0" collapsed="false">
      <c r="A889" s="5"/>
      <c r="B889" s="6"/>
      <c r="C889" s="6"/>
      <c r="D889" s="6"/>
    </row>
    <row r="890" customFormat="false" ht="15" hidden="false" customHeight="false" outlineLevel="0" collapsed="false">
      <c r="A890" s="5"/>
      <c r="B890" s="6"/>
      <c r="C890" s="6"/>
      <c r="D890" s="6"/>
    </row>
    <row r="891" customFormat="false" ht="15" hidden="false" customHeight="false" outlineLevel="0" collapsed="false">
      <c r="A891" s="5"/>
      <c r="B891" s="6"/>
      <c r="C891" s="6"/>
      <c r="D891" s="6"/>
    </row>
    <row r="892" customFormat="false" ht="15" hidden="false" customHeight="false" outlineLevel="0" collapsed="false">
      <c r="A892" s="5"/>
      <c r="B892" s="6"/>
      <c r="C892" s="6"/>
      <c r="D892" s="6"/>
    </row>
    <row r="893" customFormat="false" ht="15" hidden="false" customHeight="false" outlineLevel="0" collapsed="false">
      <c r="A893" s="5"/>
      <c r="B893" s="6"/>
      <c r="C893" s="6"/>
      <c r="D893" s="6"/>
    </row>
    <row r="894" customFormat="false" ht="15" hidden="false" customHeight="false" outlineLevel="0" collapsed="false">
      <c r="A894" s="5"/>
      <c r="B894" s="6"/>
      <c r="C894" s="6"/>
      <c r="D894" s="6"/>
    </row>
    <row r="895" customFormat="false" ht="15" hidden="false" customHeight="false" outlineLevel="0" collapsed="false">
      <c r="A895" s="5"/>
      <c r="B895" s="6"/>
      <c r="C895" s="6"/>
      <c r="D895" s="6"/>
    </row>
    <row r="896" customFormat="false" ht="15" hidden="false" customHeight="false" outlineLevel="0" collapsed="false">
      <c r="A896" s="5"/>
      <c r="B896" s="6"/>
      <c r="C896" s="6"/>
      <c r="D896" s="6"/>
    </row>
    <row r="897" customFormat="false" ht="15" hidden="false" customHeight="false" outlineLevel="0" collapsed="false">
      <c r="A897" s="5"/>
      <c r="B897" s="6"/>
      <c r="C897" s="6"/>
      <c r="D897" s="6"/>
    </row>
    <row r="898" customFormat="false" ht="15" hidden="false" customHeight="false" outlineLevel="0" collapsed="false">
      <c r="A898" s="5"/>
      <c r="B898" s="6"/>
      <c r="C898" s="6"/>
      <c r="D898" s="6"/>
    </row>
    <row r="899" customFormat="false" ht="15" hidden="false" customHeight="false" outlineLevel="0" collapsed="false">
      <c r="A899" s="5"/>
      <c r="B899" s="6"/>
      <c r="C899" s="6"/>
      <c r="D899" s="6"/>
    </row>
    <row r="900" customFormat="false" ht="15" hidden="false" customHeight="false" outlineLevel="0" collapsed="false">
      <c r="A900" s="5"/>
      <c r="B900" s="6"/>
      <c r="C900" s="6"/>
      <c r="D900" s="6"/>
    </row>
    <row r="901" customFormat="false" ht="15" hidden="false" customHeight="false" outlineLevel="0" collapsed="false">
      <c r="A901" s="5"/>
      <c r="B901" s="6"/>
      <c r="C901" s="6"/>
      <c r="D901" s="6"/>
    </row>
    <row r="902" customFormat="false" ht="15" hidden="false" customHeight="false" outlineLevel="0" collapsed="false">
      <c r="A902" s="5"/>
      <c r="B902" s="6"/>
      <c r="C902" s="6"/>
      <c r="D902" s="6"/>
    </row>
    <row r="903" customFormat="false" ht="15" hidden="false" customHeight="false" outlineLevel="0" collapsed="false">
      <c r="A903" s="5"/>
      <c r="B903" s="6"/>
      <c r="C903" s="6"/>
      <c r="D903" s="6"/>
    </row>
    <row r="904" customFormat="false" ht="15" hidden="false" customHeight="false" outlineLevel="0" collapsed="false">
      <c r="A904" s="5"/>
      <c r="B904" s="6"/>
      <c r="C904" s="6"/>
      <c r="D904" s="6"/>
    </row>
    <row r="905" customFormat="false" ht="15" hidden="false" customHeight="false" outlineLevel="0" collapsed="false">
      <c r="A905" s="5"/>
      <c r="B905" s="6"/>
      <c r="C905" s="6"/>
      <c r="D905" s="6"/>
    </row>
    <row r="906" customFormat="false" ht="15" hidden="false" customHeight="false" outlineLevel="0" collapsed="false">
      <c r="A906" s="5"/>
      <c r="B906" s="6"/>
      <c r="C906" s="6"/>
      <c r="D906" s="6"/>
    </row>
    <row r="907" customFormat="false" ht="15" hidden="false" customHeight="false" outlineLevel="0" collapsed="false">
      <c r="A907" s="5"/>
      <c r="B907" s="6"/>
      <c r="C907" s="6"/>
      <c r="D907" s="6"/>
    </row>
    <row r="908" customFormat="false" ht="15" hidden="false" customHeight="false" outlineLevel="0" collapsed="false">
      <c r="A908" s="5"/>
      <c r="B908" s="6"/>
      <c r="C908" s="6"/>
      <c r="D908" s="6"/>
    </row>
    <row r="909" customFormat="false" ht="15" hidden="false" customHeight="false" outlineLevel="0" collapsed="false">
      <c r="A909" s="5"/>
      <c r="B909" s="6"/>
      <c r="C909" s="6"/>
      <c r="D909" s="6"/>
    </row>
    <row r="910" customFormat="false" ht="15" hidden="false" customHeight="false" outlineLevel="0" collapsed="false">
      <c r="A910" s="5"/>
      <c r="B910" s="6"/>
      <c r="C910" s="6"/>
      <c r="D910" s="6"/>
    </row>
    <row r="911" customFormat="false" ht="15" hidden="false" customHeight="false" outlineLevel="0" collapsed="false">
      <c r="A911" s="5"/>
      <c r="B911" s="6"/>
      <c r="C911" s="6"/>
      <c r="D911" s="6"/>
    </row>
    <row r="912" customFormat="false" ht="15" hidden="false" customHeight="false" outlineLevel="0" collapsed="false">
      <c r="A912" s="5"/>
      <c r="B912" s="6"/>
      <c r="C912" s="6"/>
      <c r="D912" s="6"/>
    </row>
    <row r="913" customFormat="false" ht="15" hidden="false" customHeight="false" outlineLevel="0" collapsed="false">
      <c r="A913" s="5"/>
      <c r="B913" s="6"/>
      <c r="C913" s="6"/>
      <c r="D913" s="6"/>
    </row>
    <row r="914" customFormat="false" ht="15" hidden="false" customHeight="false" outlineLevel="0" collapsed="false">
      <c r="A914" s="5"/>
      <c r="B914" s="6"/>
      <c r="C914" s="6"/>
      <c r="D914" s="6"/>
    </row>
    <row r="915" customFormat="false" ht="15" hidden="false" customHeight="false" outlineLevel="0" collapsed="false">
      <c r="A915" s="5"/>
      <c r="B915" s="6"/>
      <c r="C915" s="6"/>
      <c r="D915" s="6"/>
    </row>
    <row r="916" customFormat="false" ht="15" hidden="false" customHeight="false" outlineLevel="0" collapsed="false">
      <c r="A916" s="5"/>
      <c r="B916" s="6"/>
      <c r="C916" s="6"/>
      <c r="D916" s="6"/>
    </row>
    <row r="917" customFormat="false" ht="15" hidden="false" customHeight="false" outlineLevel="0" collapsed="false">
      <c r="A917" s="5"/>
      <c r="B917" s="6"/>
      <c r="C917" s="6"/>
      <c r="D917" s="6"/>
    </row>
    <row r="918" customFormat="false" ht="15" hidden="false" customHeight="false" outlineLevel="0" collapsed="false">
      <c r="A918" s="5"/>
      <c r="B918" s="6"/>
      <c r="C918" s="6"/>
      <c r="D918" s="6"/>
    </row>
    <row r="919" customFormat="false" ht="15" hidden="false" customHeight="false" outlineLevel="0" collapsed="false">
      <c r="A919" s="5"/>
      <c r="B919" s="6"/>
      <c r="C919" s="6"/>
      <c r="D919" s="6"/>
    </row>
    <row r="920" customFormat="false" ht="15" hidden="false" customHeight="false" outlineLevel="0" collapsed="false">
      <c r="A920" s="5"/>
      <c r="B920" s="6"/>
      <c r="C920" s="6"/>
      <c r="D920" s="6"/>
    </row>
    <row r="921" customFormat="false" ht="15" hidden="false" customHeight="false" outlineLevel="0" collapsed="false">
      <c r="A921" s="5"/>
      <c r="B921" s="6"/>
      <c r="C921" s="6"/>
      <c r="D921" s="6"/>
    </row>
    <row r="922" customFormat="false" ht="15" hidden="false" customHeight="false" outlineLevel="0" collapsed="false">
      <c r="A922" s="5"/>
      <c r="B922" s="6"/>
      <c r="C922" s="6"/>
      <c r="D922" s="6"/>
    </row>
    <row r="923" customFormat="false" ht="15" hidden="false" customHeight="false" outlineLevel="0" collapsed="false">
      <c r="A923" s="5"/>
      <c r="B923" s="6"/>
      <c r="C923" s="6"/>
      <c r="D923" s="6"/>
    </row>
    <row r="924" customFormat="false" ht="15" hidden="false" customHeight="false" outlineLevel="0" collapsed="false">
      <c r="A924" s="5"/>
      <c r="B924" s="6"/>
      <c r="C924" s="6"/>
      <c r="D924" s="6"/>
    </row>
    <row r="925" customFormat="false" ht="15" hidden="false" customHeight="false" outlineLevel="0" collapsed="false">
      <c r="A925" s="5"/>
      <c r="B925" s="6"/>
      <c r="C925" s="6"/>
      <c r="D925" s="6"/>
    </row>
    <row r="926" customFormat="false" ht="15" hidden="false" customHeight="false" outlineLevel="0" collapsed="false">
      <c r="A926" s="5"/>
      <c r="B926" s="6"/>
      <c r="C926" s="6"/>
      <c r="D926" s="6"/>
    </row>
    <row r="927" customFormat="false" ht="15" hidden="false" customHeight="false" outlineLevel="0" collapsed="false">
      <c r="A927" s="5"/>
      <c r="B927" s="6"/>
      <c r="C927" s="6"/>
      <c r="D927" s="6"/>
    </row>
    <row r="928" customFormat="false" ht="15" hidden="false" customHeight="false" outlineLevel="0" collapsed="false">
      <c r="A928" s="5"/>
      <c r="B928" s="6"/>
      <c r="C928" s="6"/>
      <c r="D928" s="6"/>
    </row>
    <row r="929" customFormat="false" ht="15" hidden="false" customHeight="false" outlineLevel="0" collapsed="false">
      <c r="A929" s="5"/>
      <c r="B929" s="6"/>
      <c r="C929" s="6"/>
      <c r="D929" s="6"/>
    </row>
    <row r="930" customFormat="false" ht="15" hidden="false" customHeight="false" outlineLevel="0" collapsed="false">
      <c r="A930" s="5"/>
      <c r="B930" s="6"/>
      <c r="C930" s="6"/>
      <c r="D930" s="6"/>
    </row>
    <row r="931" customFormat="false" ht="15" hidden="false" customHeight="false" outlineLevel="0" collapsed="false">
      <c r="A931" s="5"/>
      <c r="B931" s="6"/>
      <c r="C931" s="6"/>
      <c r="D931" s="6"/>
    </row>
    <row r="932" customFormat="false" ht="15" hidden="false" customHeight="false" outlineLevel="0" collapsed="false">
      <c r="A932" s="5"/>
      <c r="B932" s="6"/>
      <c r="C932" s="6"/>
      <c r="D932" s="6"/>
    </row>
    <row r="933" customFormat="false" ht="15" hidden="false" customHeight="false" outlineLevel="0" collapsed="false">
      <c r="A933" s="5"/>
      <c r="B933" s="6"/>
      <c r="C933" s="6"/>
      <c r="D933" s="6"/>
    </row>
    <row r="934" customFormat="false" ht="15" hidden="false" customHeight="false" outlineLevel="0" collapsed="false">
      <c r="A934" s="5"/>
      <c r="B934" s="6"/>
      <c r="C934" s="6"/>
      <c r="D934" s="6"/>
    </row>
    <row r="935" customFormat="false" ht="15" hidden="false" customHeight="false" outlineLevel="0" collapsed="false">
      <c r="A935" s="5"/>
      <c r="B935" s="6"/>
      <c r="C935" s="6"/>
      <c r="D935" s="6"/>
    </row>
    <row r="936" customFormat="false" ht="15" hidden="false" customHeight="false" outlineLevel="0" collapsed="false">
      <c r="A936" s="5"/>
      <c r="B936" s="6"/>
      <c r="C936" s="6"/>
      <c r="D936" s="6"/>
    </row>
    <row r="937" customFormat="false" ht="15" hidden="false" customHeight="false" outlineLevel="0" collapsed="false">
      <c r="A937" s="5"/>
      <c r="B937" s="6"/>
      <c r="C937" s="6"/>
      <c r="D937" s="6"/>
    </row>
    <row r="938" customFormat="false" ht="15" hidden="false" customHeight="false" outlineLevel="0" collapsed="false">
      <c r="A938" s="5"/>
      <c r="B938" s="6"/>
      <c r="C938" s="6"/>
      <c r="D938" s="6"/>
    </row>
    <row r="939" customFormat="false" ht="15" hidden="false" customHeight="false" outlineLevel="0" collapsed="false">
      <c r="A939" s="5"/>
      <c r="B939" s="6"/>
      <c r="C939" s="6"/>
      <c r="D939" s="6"/>
    </row>
    <row r="940" customFormat="false" ht="15" hidden="false" customHeight="false" outlineLevel="0" collapsed="false">
      <c r="A940" s="5"/>
      <c r="B940" s="6"/>
      <c r="C940" s="6"/>
      <c r="D940" s="6"/>
    </row>
    <row r="941" customFormat="false" ht="15" hidden="false" customHeight="false" outlineLevel="0" collapsed="false">
      <c r="A941" s="5"/>
      <c r="B941" s="6"/>
      <c r="C941" s="6"/>
      <c r="D941" s="6"/>
    </row>
    <row r="942" customFormat="false" ht="15" hidden="false" customHeight="false" outlineLevel="0" collapsed="false">
      <c r="A942" s="5"/>
      <c r="B942" s="6"/>
      <c r="C942" s="6"/>
      <c r="D942" s="6"/>
    </row>
    <row r="943" customFormat="false" ht="15" hidden="false" customHeight="false" outlineLevel="0" collapsed="false">
      <c r="A943" s="5"/>
      <c r="B943" s="6"/>
      <c r="C943" s="6"/>
      <c r="D943" s="6"/>
    </row>
    <row r="944" customFormat="false" ht="15" hidden="false" customHeight="false" outlineLevel="0" collapsed="false">
      <c r="A944" s="5"/>
      <c r="B944" s="6"/>
      <c r="C944" s="6"/>
      <c r="D944" s="6"/>
    </row>
    <row r="945" customFormat="false" ht="15" hidden="false" customHeight="false" outlineLevel="0" collapsed="false">
      <c r="A945" s="5"/>
      <c r="B945" s="6"/>
      <c r="C945" s="6"/>
      <c r="D945" s="6"/>
    </row>
    <row r="946" customFormat="false" ht="15" hidden="false" customHeight="false" outlineLevel="0" collapsed="false">
      <c r="A946" s="5"/>
      <c r="B946" s="6"/>
      <c r="C946" s="6"/>
      <c r="D946" s="6"/>
    </row>
    <row r="947" customFormat="false" ht="15" hidden="false" customHeight="false" outlineLevel="0" collapsed="false">
      <c r="A947" s="5"/>
      <c r="B947" s="6"/>
      <c r="C947" s="6"/>
      <c r="D947" s="6"/>
    </row>
    <row r="948" customFormat="false" ht="15" hidden="false" customHeight="false" outlineLevel="0" collapsed="false">
      <c r="A948" s="5"/>
      <c r="B948" s="6"/>
      <c r="C948" s="6"/>
      <c r="D948" s="6"/>
    </row>
    <row r="949" customFormat="false" ht="15" hidden="false" customHeight="false" outlineLevel="0" collapsed="false">
      <c r="A949" s="5"/>
      <c r="B949" s="6"/>
      <c r="C949" s="6"/>
      <c r="D949" s="6"/>
    </row>
    <row r="950" customFormat="false" ht="15" hidden="false" customHeight="false" outlineLevel="0" collapsed="false">
      <c r="A950" s="5"/>
      <c r="B950" s="6"/>
      <c r="C950" s="6"/>
      <c r="D950" s="6"/>
    </row>
    <row r="951" customFormat="false" ht="15" hidden="false" customHeight="false" outlineLevel="0" collapsed="false">
      <c r="A951" s="5"/>
      <c r="B951" s="6"/>
      <c r="C951" s="6"/>
      <c r="D951" s="6"/>
    </row>
    <row r="952" customFormat="false" ht="15" hidden="false" customHeight="false" outlineLevel="0" collapsed="false">
      <c r="A952" s="5"/>
      <c r="B952" s="6"/>
      <c r="C952" s="6"/>
      <c r="D952" s="6"/>
    </row>
    <row r="953" customFormat="false" ht="15" hidden="false" customHeight="false" outlineLevel="0" collapsed="false">
      <c r="A953" s="5"/>
      <c r="B953" s="6"/>
      <c r="C953" s="6"/>
      <c r="D953" s="6"/>
    </row>
    <row r="954" customFormat="false" ht="15" hidden="false" customHeight="false" outlineLevel="0" collapsed="false">
      <c r="A954" s="5"/>
      <c r="B954" s="6"/>
      <c r="C954" s="6"/>
      <c r="D954" s="6"/>
    </row>
    <row r="955" customFormat="false" ht="15" hidden="false" customHeight="false" outlineLevel="0" collapsed="false">
      <c r="A955" s="5"/>
      <c r="B955" s="6"/>
      <c r="C955" s="6"/>
      <c r="D955" s="6"/>
    </row>
    <row r="956" customFormat="false" ht="15" hidden="false" customHeight="false" outlineLevel="0" collapsed="false">
      <c r="A956" s="5"/>
      <c r="B956" s="6"/>
      <c r="C956" s="6"/>
      <c r="D956" s="6"/>
    </row>
    <row r="957" customFormat="false" ht="15" hidden="false" customHeight="false" outlineLevel="0" collapsed="false">
      <c r="A957" s="5"/>
      <c r="B957" s="6"/>
      <c r="C957" s="6"/>
      <c r="D957" s="6"/>
    </row>
    <row r="958" customFormat="false" ht="15" hidden="false" customHeight="false" outlineLevel="0" collapsed="false">
      <c r="A958" s="5"/>
      <c r="B958" s="6"/>
      <c r="C958" s="6"/>
      <c r="D958" s="6"/>
    </row>
    <row r="959" customFormat="false" ht="15" hidden="false" customHeight="false" outlineLevel="0" collapsed="false">
      <c r="A959" s="5"/>
      <c r="B959" s="6"/>
      <c r="C959" s="6"/>
      <c r="D959" s="6"/>
    </row>
    <row r="960" customFormat="false" ht="15" hidden="false" customHeight="false" outlineLevel="0" collapsed="false">
      <c r="A960" s="5"/>
      <c r="B960" s="6"/>
      <c r="C960" s="6"/>
      <c r="D960" s="6"/>
    </row>
    <row r="961" customFormat="false" ht="15" hidden="false" customHeight="false" outlineLevel="0" collapsed="false">
      <c r="A961" s="5"/>
      <c r="B961" s="6"/>
      <c r="C961" s="6"/>
      <c r="D961" s="6"/>
    </row>
    <row r="962" customFormat="false" ht="15" hidden="false" customHeight="false" outlineLevel="0" collapsed="false">
      <c r="A962" s="5"/>
      <c r="B962" s="6"/>
      <c r="C962" s="6"/>
      <c r="D962" s="6"/>
    </row>
    <row r="963" customFormat="false" ht="15" hidden="false" customHeight="false" outlineLevel="0" collapsed="false">
      <c r="A963" s="5"/>
      <c r="B963" s="6"/>
      <c r="C963" s="6"/>
      <c r="D963" s="6"/>
    </row>
    <row r="964" customFormat="false" ht="15" hidden="false" customHeight="false" outlineLevel="0" collapsed="false">
      <c r="A964" s="5"/>
      <c r="B964" s="6"/>
      <c r="C964" s="6"/>
      <c r="D964" s="6"/>
    </row>
    <row r="965" customFormat="false" ht="15" hidden="false" customHeight="false" outlineLevel="0" collapsed="false">
      <c r="A965" s="5"/>
      <c r="B965" s="6"/>
      <c r="C965" s="6"/>
      <c r="D965" s="6"/>
    </row>
    <row r="966" customFormat="false" ht="15" hidden="false" customHeight="false" outlineLevel="0" collapsed="false">
      <c r="A966" s="5"/>
      <c r="B966" s="6"/>
      <c r="C966" s="6"/>
      <c r="D966" s="6"/>
    </row>
    <row r="967" customFormat="false" ht="15" hidden="false" customHeight="false" outlineLevel="0" collapsed="false">
      <c r="A967" s="5"/>
      <c r="B967" s="6"/>
      <c r="C967" s="6"/>
      <c r="D967" s="6"/>
    </row>
    <row r="968" customFormat="false" ht="15" hidden="false" customHeight="false" outlineLevel="0" collapsed="false">
      <c r="A968" s="5"/>
      <c r="B968" s="6"/>
      <c r="C968" s="6"/>
      <c r="D968" s="6"/>
    </row>
    <row r="969" customFormat="false" ht="15" hidden="false" customHeight="false" outlineLevel="0" collapsed="false">
      <c r="A969" s="5"/>
      <c r="B969" s="6"/>
      <c r="C969" s="6"/>
      <c r="D969" s="6"/>
    </row>
    <row r="970" customFormat="false" ht="15" hidden="false" customHeight="false" outlineLevel="0" collapsed="false">
      <c r="A970" s="5"/>
      <c r="B970" s="6"/>
      <c r="C970" s="6"/>
      <c r="D970" s="6"/>
    </row>
    <row r="971" customFormat="false" ht="15" hidden="false" customHeight="false" outlineLevel="0" collapsed="false">
      <c r="A971" s="5"/>
      <c r="B971" s="6"/>
      <c r="C971" s="6"/>
      <c r="D971" s="6"/>
    </row>
    <row r="972" customFormat="false" ht="15" hidden="false" customHeight="false" outlineLevel="0" collapsed="false">
      <c r="A972" s="5"/>
      <c r="B972" s="6"/>
      <c r="C972" s="6"/>
      <c r="D972" s="6"/>
    </row>
    <row r="973" customFormat="false" ht="15" hidden="false" customHeight="false" outlineLevel="0" collapsed="false">
      <c r="A973" s="5"/>
      <c r="B973" s="6"/>
      <c r="C973" s="6"/>
      <c r="D973" s="6"/>
    </row>
    <row r="974" customFormat="false" ht="15" hidden="false" customHeight="false" outlineLevel="0" collapsed="false">
      <c r="A974" s="5"/>
      <c r="B974" s="6"/>
      <c r="C974" s="6"/>
      <c r="D974" s="6"/>
    </row>
    <row r="975" customFormat="false" ht="15" hidden="false" customHeight="false" outlineLevel="0" collapsed="false">
      <c r="A975" s="5"/>
      <c r="B975" s="6"/>
      <c r="C975" s="6"/>
      <c r="D975" s="6"/>
    </row>
    <row r="976" customFormat="false" ht="15" hidden="false" customHeight="false" outlineLevel="0" collapsed="false">
      <c r="A976" s="5"/>
      <c r="B976" s="6"/>
      <c r="C976" s="6"/>
      <c r="D976" s="6"/>
    </row>
    <row r="977" customFormat="false" ht="15" hidden="false" customHeight="false" outlineLevel="0" collapsed="false">
      <c r="A977" s="5"/>
      <c r="B977" s="6"/>
      <c r="C977" s="6"/>
      <c r="D977" s="6"/>
    </row>
    <row r="978" customFormat="false" ht="15" hidden="false" customHeight="false" outlineLevel="0" collapsed="false">
      <c r="A978" s="5"/>
      <c r="B978" s="6"/>
      <c r="C978" s="6"/>
      <c r="D978" s="6"/>
    </row>
    <row r="979" customFormat="false" ht="15" hidden="false" customHeight="false" outlineLevel="0" collapsed="false">
      <c r="A979" s="5"/>
      <c r="B979" s="6"/>
      <c r="C979" s="6"/>
      <c r="D979" s="6"/>
    </row>
    <row r="980" customFormat="false" ht="15" hidden="false" customHeight="false" outlineLevel="0" collapsed="false">
      <c r="A980" s="5"/>
      <c r="B980" s="6"/>
      <c r="C980" s="6"/>
      <c r="D980" s="6"/>
    </row>
    <row r="981" customFormat="false" ht="15" hidden="false" customHeight="false" outlineLevel="0" collapsed="false">
      <c r="A981" s="5"/>
      <c r="B981" s="6"/>
      <c r="C981" s="6"/>
      <c r="D981" s="6"/>
    </row>
    <row r="982" customFormat="false" ht="15" hidden="false" customHeight="false" outlineLevel="0" collapsed="false">
      <c r="A982" s="5"/>
      <c r="B982" s="6"/>
      <c r="C982" s="6"/>
      <c r="D982" s="6"/>
    </row>
    <row r="983" customFormat="false" ht="15" hidden="false" customHeight="false" outlineLevel="0" collapsed="false">
      <c r="A983" s="5"/>
      <c r="B983" s="6"/>
      <c r="C983" s="6"/>
      <c r="D983" s="6"/>
    </row>
    <row r="984" customFormat="false" ht="15" hidden="false" customHeight="false" outlineLevel="0" collapsed="false">
      <c r="A984" s="5"/>
      <c r="B984" s="6"/>
      <c r="C984" s="6"/>
      <c r="D984" s="6"/>
    </row>
    <row r="985" customFormat="false" ht="15" hidden="false" customHeight="false" outlineLevel="0" collapsed="false">
      <c r="A985" s="5"/>
      <c r="B985" s="6"/>
      <c r="C985" s="6"/>
      <c r="D985" s="6"/>
    </row>
    <row r="986" customFormat="false" ht="15" hidden="false" customHeight="false" outlineLevel="0" collapsed="false">
      <c r="A986" s="5"/>
      <c r="B986" s="6"/>
      <c r="C986" s="6"/>
      <c r="D986" s="6"/>
    </row>
    <row r="987" customFormat="false" ht="15" hidden="false" customHeight="false" outlineLevel="0" collapsed="false">
      <c r="A987" s="5"/>
      <c r="B987" s="6"/>
      <c r="C987" s="6"/>
      <c r="D987" s="6"/>
    </row>
    <row r="988" customFormat="false" ht="15" hidden="false" customHeight="false" outlineLevel="0" collapsed="false">
      <c r="A988" s="5"/>
      <c r="B988" s="6"/>
      <c r="C988" s="6"/>
      <c r="D988" s="6"/>
    </row>
    <row r="989" customFormat="false" ht="15" hidden="false" customHeight="false" outlineLevel="0" collapsed="false">
      <c r="A989" s="5"/>
      <c r="B989" s="6"/>
      <c r="C989" s="6"/>
      <c r="D989" s="6"/>
    </row>
    <row r="990" customFormat="false" ht="15" hidden="false" customHeight="false" outlineLevel="0" collapsed="false">
      <c r="A990" s="5"/>
      <c r="B990" s="6"/>
      <c r="C990" s="6"/>
      <c r="D990" s="6"/>
    </row>
    <row r="991" customFormat="false" ht="15" hidden="false" customHeight="false" outlineLevel="0" collapsed="false">
      <c r="A991" s="5"/>
      <c r="B991" s="6"/>
      <c r="C991" s="6"/>
      <c r="D991" s="6"/>
    </row>
    <row r="992" customFormat="false" ht="15" hidden="false" customHeight="false" outlineLevel="0" collapsed="false">
      <c r="A992" s="5"/>
      <c r="B992" s="6"/>
      <c r="C992" s="6"/>
      <c r="D992" s="6"/>
    </row>
    <row r="993" customFormat="false" ht="15" hidden="false" customHeight="false" outlineLevel="0" collapsed="false">
      <c r="A993" s="5"/>
      <c r="B993" s="6"/>
      <c r="C993" s="6"/>
      <c r="D993" s="6"/>
    </row>
    <row r="994" customFormat="false" ht="15" hidden="false" customHeight="false" outlineLevel="0" collapsed="false">
      <c r="A994" s="5"/>
      <c r="B994" s="6"/>
      <c r="C994" s="6"/>
      <c r="D994" s="6"/>
    </row>
    <row r="995" customFormat="false" ht="15" hidden="false" customHeight="false" outlineLevel="0" collapsed="false">
      <c r="A995" s="5"/>
      <c r="B995" s="6"/>
      <c r="C995" s="6"/>
      <c r="D995" s="6"/>
    </row>
    <row r="996" customFormat="false" ht="15" hidden="false" customHeight="false" outlineLevel="0" collapsed="false">
      <c r="A996" s="5"/>
      <c r="B996" s="6"/>
      <c r="C996" s="6"/>
      <c r="D996" s="6"/>
    </row>
    <row r="997" customFormat="false" ht="15" hidden="false" customHeight="false" outlineLevel="0" collapsed="false">
      <c r="A997" s="5"/>
      <c r="B997" s="6"/>
      <c r="C997" s="6"/>
      <c r="D997" s="6"/>
    </row>
    <row r="998" customFormat="false" ht="15" hidden="false" customHeight="false" outlineLevel="0" collapsed="false">
      <c r="A998" s="5"/>
      <c r="B998" s="6"/>
      <c r="C998" s="6"/>
      <c r="D998" s="6"/>
    </row>
    <row r="999" customFormat="false" ht="15" hidden="false" customHeight="false" outlineLevel="0" collapsed="false">
      <c r="A999" s="5"/>
      <c r="B999" s="6"/>
      <c r="C999" s="6"/>
      <c r="D999" s="6"/>
    </row>
    <row r="1000" customFormat="false" ht="15" hidden="false" customHeight="false" outlineLevel="0" collapsed="false">
      <c r="A1000" s="5"/>
      <c r="B1000" s="6"/>
      <c r="C1000" s="6"/>
      <c r="D1000" s="6"/>
    </row>
  </sheetData>
  <dataValidations count="1">
    <dataValidation allowBlank="true" errorStyle="stop" operator="between" showDropDown="false" showErrorMessage="false" showInputMessage="false" sqref="B2:B1000" type="list">
      <formula1>Товары!$A$2:$A$200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6"/>
    <col collapsed="false" customWidth="true" hidden="false" outlineLevel="0" max="3" min="3" style="0" width="26"/>
    <col collapsed="false" customWidth="true" hidden="false" outlineLevel="0" max="4" min="4" style="0" width="40"/>
    <col collapsed="false" customWidth="true" hidden="false" outlineLevel="0" max="5" min="5" style="0" width="16"/>
    <col collapsed="false" customWidth="true" hidden="false" outlineLevel="0" max="6" min="6" style="0" width="18"/>
  </cols>
  <sheetData>
    <row r="1" customFormat="false" ht="30" hidden="false" customHeight="true" outlineLevel="0" collapsed="false">
      <c r="A1" s="4" t="s">
        <v>23</v>
      </c>
      <c r="B1" s="4" t="s">
        <v>56</v>
      </c>
      <c r="C1" s="4" t="s">
        <v>57</v>
      </c>
      <c r="D1" s="4" t="s">
        <v>58</v>
      </c>
      <c r="E1" s="4" t="s">
        <v>59</v>
      </c>
      <c r="F1" s="4" t="s">
        <v>60</v>
      </c>
    </row>
    <row r="2" customFormat="false" ht="15" hidden="false" customHeight="false" outlineLevel="0" collapsed="false">
      <c r="A2" s="6" t="s">
        <v>34</v>
      </c>
      <c r="B2" s="6" t="s">
        <v>61</v>
      </c>
      <c r="C2" s="6" t="s">
        <v>62</v>
      </c>
      <c r="D2" s="6" t="s">
        <v>63</v>
      </c>
      <c r="E2" s="8" t="n">
        <f aca="false">IF(A2="","",SUMIFS(Продажи!$H$2:$H$1000,Продажи!$C$2:$C$1000,A2))</f>
        <v>260500</v>
      </c>
      <c r="F2" s="11" t="n">
        <f aca="false">IF(A2="","",IF(COUNTIF(Продажи!$C$2:$C$1000,A2)=0,"",_xlfn.MAXIFS(Продажи!$A$2:$A$1000,Продажи!$C$2:$C$1000,A2)))</f>
        <v>46133</v>
      </c>
    </row>
    <row r="3" customFormat="false" ht="15" hidden="false" customHeight="false" outlineLevel="0" collapsed="false">
      <c r="A3" s="6" t="s">
        <v>39</v>
      </c>
      <c r="B3" s="6" t="s">
        <v>64</v>
      </c>
      <c r="C3" s="6" t="s">
        <v>65</v>
      </c>
      <c r="D3" s="6" t="s">
        <v>66</v>
      </c>
      <c r="E3" s="8" t="n">
        <f aca="false">IF(A3="","",SUMIFS(Продажи!$H$2:$H$1000,Продажи!$C$2:$C$1000,A3))</f>
        <v>156000</v>
      </c>
      <c r="F3" s="11" t="n">
        <f aca="false">IF(A3="","",IF(COUNTIF(Продажи!$C$2:$C$1000,A3)=0,"",_xlfn.MAXIFS(Продажи!$A$2:$A$1000,Продажи!$C$2:$C$1000,A3)))</f>
        <v>46182</v>
      </c>
    </row>
    <row r="4" customFormat="false" ht="15" hidden="false" customHeight="false" outlineLevel="0" collapsed="false">
      <c r="A4" s="6" t="s">
        <v>37</v>
      </c>
      <c r="B4" s="6" t="s">
        <v>67</v>
      </c>
      <c r="C4" s="6" t="s">
        <v>68</v>
      </c>
      <c r="D4" s="6" t="s">
        <v>69</v>
      </c>
      <c r="E4" s="8" t="n">
        <f aca="false">IF(A4="","",SUMIFS(Продажи!$H$2:$H$1000,Продажи!$C$2:$C$1000,A4))</f>
        <v>454000</v>
      </c>
      <c r="F4" s="11" t="n">
        <f aca="false">IF(A4="","",IF(COUNTIF(Продажи!$C$2:$C$1000,A4)=0,"",_xlfn.MAXIFS(Продажи!$A$2:$A$1000,Продажи!$C$2:$C$1000,A4)))</f>
        <v>46280</v>
      </c>
    </row>
    <row r="5" customFormat="false" ht="15" hidden="false" customHeight="false" outlineLevel="0" collapsed="false">
      <c r="A5" s="6"/>
      <c r="B5" s="6"/>
      <c r="C5" s="6"/>
      <c r="D5" s="6"/>
      <c r="E5" s="8" t="str">
        <f aca="false">IF(A5="","",SUMIFS(Продажи!$H$2:$H$1000,Продажи!$C$2:$C$1000,A5))</f>
        <v/>
      </c>
      <c r="F5" s="11" t="str">
        <f aca="false">IF(A5="","",IF(COUNTIF(Продажи!$C$2:$C$1000,A5)=0,"",_xlfn.MAXIFS(Продажи!$A$2:$A$1000,Продажи!$C$2:$C$1000,A5)))</f>
        <v/>
      </c>
    </row>
    <row r="6" customFormat="false" ht="15" hidden="false" customHeight="false" outlineLevel="0" collapsed="false">
      <c r="A6" s="6"/>
      <c r="B6" s="6"/>
      <c r="C6" s="6"/>
      <c r="D6" s="6"/>
      <c r="E6" s="8" t="str">
        <f aca="false">IF(A6="","",SUMIFS(Продажи!$H$2:$H$1000,Продажи!$C$2:$C$1000,A6))</f>
        <v/>
      </c>
      <c r="F6" s="11" t="str">
        <f aca="false">IF(A6="","",IF(COUNTIF(Продажи!$C$2:$C$1000,A6)=0,"",_xlfn.MAXIFS(Продажи!$A$2:$A$1000,Продажи!$C$2:$C$1000,A6)))</f>
        <v/>
      </c>
    </row>
    <row r="7" customFormat="false" ht="15" hidden="false" customHeight="false" outlineLevel="0" collapsed="false">
      <c r="A7" s="6"/>
      <c r="B7" s="6"/>
      <c r="C7" s="6"/>
      <c r="D7" s="6"/>
      <c r="E7" s="8" t="str">
        <f aca="false">IF(A7="","",SUMIFS(Продажи!$H$2:$H$1000,Продажи!$C$2:$C$1000,A7))</f>
        <v/>
      </c>
      <c r="F7" s="11" t="str">
        <f aca="false">IF(A7="","",IF(COUNTIF(Продажи!$C$2:$C$1000,A7)=0,"",_xlfn.MAXIFS(Продажи!$A$2:$A$1000,Продажи!$C$2:$C$1000,A7)))</f>
        <v/>
      </c>
    </row>
    <row r="8" customFormat="false" ht="15" hidden="false" customHeight="false" outlineLevel="0" collapsed="false">
      <c r="A8" s="6"/>
      <c r="B8" s="6"/>
      <c r="C8" s="6"/>
      <c r="D8" s="6"/>
      <c r="E8" s="8" t="str">
        <f aca="false">IF(A8="","",SUMIFS(Продажи!$H$2:$H$1000,Продажи!$C$2:$C$1000,A8))</f>
        <v/>
      </c>
      <c r="F8" s="11" t="str">
        <f aca="false">IF(A8="","",IF(COUNTIF(Продажи!$C$2:$C$1000,A8)=0,"",_xlfn.MAXIFS(Продажи!$A$2:$A$1000,Продажи!$C$2:$C$1000,A8)))</f>
        <v/>
      </c>
    </row>
    <row r="9" customFormat="false" ht="15" hidden="false" customHeight="false" outlineLevel="0" collapsed="false">
      <c r="A9" s="6"/>
      <c r="B9" s="6"/>
      <c r="C9" s="6"/>
      <c r="D9" s="6"/>
      <c r="E9" s="8" t="str">
        <f aca="false">IF(A9="","",SUMIFS(Продажи!$H$2:$H$1000,Продажи!$C$2:$C$1000,A9))</f>
        <v/>
      </c>
      <c r="F9" s="11" t="str">
        <f aca="false">IF(A9="","",IF(COUNTIF(Продажи!$C$2:$C$1000,A9)=0,"",_xlfn.MAXIFS(Продажи!$A$2:$A$1000,Продажи!$C$2:$C$1000,A9)))</f>
        <v/>
      </c>
    </row>
    <row r="10" customFormat="false" ht="15" hidden="false" customHeight="false" outlineLevel="0" collapsed="false">
      <c r="A10" s="6"/>
      <c r="B10" s="6"/>
      <c r="C10" s="6"/>
      <c r="D10" s="6"/>
      <c r="E10" s="8" t="str">
        <f aca="false">IF(A10="","",SUMIFS(Продажи!$H$2:$H$1000,Продажи!$C$2:$C$1000,A10))</f>
        <v/>
      </c>
      <c r="F10" s="11" t="str">
        <f aca="false">IF(A10="","",IF(COUNTIF(Продажи!$C$2:$C$1000,A10)=0,"",_xlfn.MAXIFS(Продажи!$A$2:$A$1000,Продажи!$C$2:$C$1000,A10)))</f>
        <v/>
      </c>
    </row>
    <row r="11" customFormat="false" ht="15" hidden="false" customHeight="false" outlineLevel="0" collapsed="false">
      <c r="A11" s="6"/>
      <c r="B11" s="6"/>
      <c r="C11" s="6"/>
      <c r="D11" s="6"/>
      <c r="E11" s="8" t="str">
        <f aca="false">IF(A11="","",SUMIFS(Продажи!$H$2:$H$1000,Продажи!$C$2:$C$1000,A11))</f>
        <v/>
      </c>
      <c r="F11" s="11" t="str">
        <f aca="false">IF(A11="","",IF(COUNTIF(Продажи!$C$2:$C$1000,A11)=0,"",_xlfn.MAXIFS(Продажи!$A$2:$A$1000,Продажи!$C$2:$C$1000,A11)))</f>
        <v/>
      </c>
    </row>
    <row r="12" customFormat="false" ht="15" hidden="false" customHeight="false" outlineLevel="0" collapsed="false">
      <c r="A12" s="6"/>
      <c r="B12" s="6"/>
      <c r="C12" s="6"/>
      <c r="D12" s="6"/>
      <c r="E12" s="8" t="str">
        <f aca="false">IF(A12="","",SUMIFS(Продажи!$H$2:$H$1000,Продажи!$C$2:$C$1000,A12))</f>
        <v/>
      </c>
      <c r="F12" s="11" t="str">
        <f aca="false">IF(A12="","",IF(COUNTIF(Продажи!$C$2:$C$1000,A12)=0,"",_xlfn.MAXIFS(Продажи!$A$2:$A$1000,Продажи!$C$2:$C$1000,A12)))</f>
        <v/>
      </c>
    </row>
    <row r="13" customFormat="false" ht="15" hidden="false" customHeight="false" outlineLevel="0" collapsed="false">
      <c r="A13" s="6"/>
      <c r="B13" s="6"/>
      <c r="C13" s="6"/>
      <c r="D13" s="6"/>
      <c r="E13" s="8" t="str">
        <f aca="false">IF(A13="","",SUMIFS(Продажи!$H$2:$H$1000,Продажи!$C$2:$C$1000,A13))</f>
        <v/>
      </c>
      <c r="F13" s="11" t="str">
        <f aca="false">IF(A13="","",IF(COUNTIF(Продажи!$C$2:$C$1000,A13)=0,"",_xlfn.MAXIFS(Продажи!$A$2:$A$1000,Продажи!$C$2:$C$1000,A13)))</f>
        <v/>
      </c>
    </row>
    <row r="14" customFormat="false" ht="15" hidden="false" customHeight="false" outlineLevel="0" collapsed="false">
      <c r="A14" s="6"/>
      <c r="B14" s="6"/>
      <c r="C14" s="6"/>
      <c r="D14" s="6"/>
      <c r="E14" s="8" t="str">
        <f aca="false">IF(A14="","",SUMIFS(Продажи!$H$2:$H$1000,Продажи!$C$2:$C$1000,A14))</f>
        <v/>
      </c>
      <c r="F14" s="11" t="str">
        <f aca="false">IF(A14="","",IF(COUNTIF(Продажи!$C$2:$C$1000,A14)=0,"",_xlfn.MAXIFS(Продажи!$A$2:$A$1000,Продажи!$C$2:$C$1000,A14)))</f>
        <v/>
      </c>
    </row>
    <row r="15" customFormat="false" ht="15" hidden="false" customHeight="false" outlineLevel="0" collapsed="false">
      <c r="A15" s="6"/>
      <c r="B15" s="6"/>
      <c r="C15" s="6"/>
      <c r="D15" s="6"/>
      <c r="E15" s="8" t="str">
        <f aca="false">IF(A15="","",SUMIFS(Продажи!$H$2:$H$1000,Продажи!$C$2:$C$1000,A15))</f>
        <v/>
      </c>
      <c r="F15" s="11" t="str">
        <f aca="false">IF(A15="","",IF(COUNTIF(Продажи!$C$2:$C$1000,A15)=0,"",_xlfn.MAXIFS(Продажи!$A$2:$A$1000,Продажи!$C$2:$C$1000,A15)))</f>
        <v/>
      </c>
    </row>
    <row r="16" customFormat="false" ht="15" hidden="false" customHeight="false" outlineLevel="0" collapsed="false">
      <c r="A16" s="6"/>
      <c r="B16" s="6"/>
      <c r="C16" s="6"/>
      <c r="D16" s="6"/>
      <c r="E16" s="8" t="str">
        <f aca="false">IF(A16="","",SUMIFS(Продажи!$H$2:$H$1000,Продажи!$C$2:$C$1000,A16))</f>
        <v/>
      </c>
      <c r="F16" s="11" t="str">
        <f aca="false">IF(A16="","",IF(COUNTIF(Продажи!$C$2:$C$1000,A16)=0,"",_xlfn.MAXIFS(Продажи!$A$2:$A$1000,Продажи!$C$2:$C$1000,A16)))</f>
        <v/>
      </c>
    </row>
    <row r="17" customFormat="false" ht="15" hidden="false" customHeight="false" outlineLevel="0" collapsed="false">
      <c r="A17" s="6"/>
      <c r="B17" s="6"/>
      <c r="C17" s="6"/>
      <c r="D17" s="6"/>
      <c r="E17" s="8" t="str">
        <f aca="false">IF(A17="","",SUMIFS(Продажи!$H$2:$H$1000,Продажи!$C$2:$C$1000,A17))</f>
        <v/>
      </c>
      <c r="F17" s="11" t="str">
        <f aca="false">IF(A17="","",IF(COUNTIF(Продажи!$C$2:$C$1000,A17)=0,"",_xlfn.MAXIFS(Продажи!$A$2:$A$1000,Продажи!$C$2:$C$1000,A17)))</f>
        <v/>
      </c>
    </row>
    <row r="18" customFormat="false" ht="15" hidden="false" customHeight="false" outlineLevel="0" collapsed="false">
      <c r="A18" s="6"/>
      <c r="B18" s="6"/>
      <c r="C18" s="6"/>
      <c r="D18" s="6"/>
      <c r="E18" s="8" t="str">
        <f aca="false">IF(A18="","",SUMIFS(Продажи!$H$2:$H$1000,Продажи!$C$2:$C$1000,A18))</f>
        <v/>
      </c>
      <c r="F18" s="11" t="str">
        <f aca="false">IF(A18="","",IF(COUNTIF(Продажи!$C$2:$C$1000,A18)=0,"",_xlfn.MAXIFS(Продажи!$A$2:$A$1000,Продажи!$C$2:$C$1000,A18)))</f>
        <v/>
      </c>
    </row>
    <row r="19" customFormat="false" ht="15" hidden="false" customHeight="false" outlineLevel="0" collapsed="false">
      <c r="A19" s="6"/>
      <c r="B19" s="6"/>
      <c r="C19" s="6"/>
      <c r="D19" s="6"/>
      <c r="E19" s="8" t="str">
        <f aca="false">IF(A19="","",SUMIFS(Продажи!$H$2:$H$1000,Продажи!$C$2:$C$1000,A19))</f>
        <v/>
      </c>
      <c r="F19" s="11" t="str">
        <f aca="false">IF(A19="","",IF(COUNTIF(Продажи!$C$2:$C$1000,A19)=0,"",_xlfn.MAXIFS(Продажи!$A$2:$A$1000,Продажи!$C$2:$C$1000,A19)))</f>
        <v/>
      </c>
    </row>
    <row r="20" customFormat="false" ht="15" hidden="false" customHeight="false" outlineLevel="0" collapsed="false">
      <c r="A20" s="6"/>
      <c r="B20" s="6"/>
      <c r="C20" s="6"/>
      <c r="D20" s="6"/>
      <c r="E20" s="8" t="str">
        <f aca="false">IF(A20="","",SUMIFS(Продажи!$H$2:$H$1000,Продажи!$C$2:$C$1000,A20))</f>
        <v/>
      </c>
      <c r="F20" s="11" t="str">
        <f aca="false">IF(A20="","",IF(COUNTIF(Продажи!$C$2:$C$1000,A20)=0,"",_xlfn.MAXIFS(Продажи!$A$2:$A$1000,Продажи!$C$2:$C$1000,A20)))</f>
        <v/>
      </c>
    </row>
    <row r="21" customFormat="false" ht="15" hidden="false" customHeight="false" outlineLevel="0" collapsed="false">
      <c r="A21" s="6"/>
      <c r="B21" s="6"/>
      <c r="C21" s="6"/>
      <c r="D21" s="6"/>
      <c r="E21" s="8" t="str">
        <f aca="false">IF(A21="","",SUMIFS(Продажи!$H$2:$H$1000,Продажи!$C$2:$C$1000,A21))</f>
        <v/>
      </c>
      <c r="F21" s="11" t="str">
        <f aca="false">IF(A21="","",IF(COUNTIF(Продажи!$C$2:$C$1000,A21)=0,"",_xlfn.MAXIFS(Продажи!$A$2:$A$1000,Продажи!$C$2:$C$1000,A21)))</f>
        <v/>
      </c>
    </row>
    <row r="22" customFormat="false" ht="15" hidden="false" customHeight="false" outlineLevel="0" collapsed="false">
      <c r="A22" s="6"/>
      <c r="B22" s="6"/>
      <c r="C22" s="6"/>
      <c r="D22" s="6"/>
      <c r="E22" s="8" t="str">
        <f aca="false">IF(A22="","",SUMIFS(Продажи!$H$2:$H$1000,Продажи!$C$2:$C$1000,A22))</f>
        <v/>
      </c>
      <c r="F22" s="11" t="str">
        <f aca="false">IF(A22="","",IF(COUNTIF(Продажи!$C$2:$C$1000,A22)=0,"",_xlfn.MAXIFS(Продажи!$A$2:$A$1000,Продажи!$C$2:$C$1000,A22)))</f>
        <v/>
      </c>
    </row>
    <row r="23" customFormat="false" ht="15" hidden="false" customHeight="false" outlineLevel="0" collapsed="false">
      <c r="A23" s="6"/>
      <c r="B23" s="6"/>
      <c r="C23" s="6"/>
      <c r="D23" s="6"/>
      <c r="E23" s="8" t="str">
        <f aca="false">IF(A23="","",SUMIFS(Продажи!$H$2:$H$1000,Продажи!$C$2:$C$1000,A23))</f>
        <v/>
      </c>
      <c r="F23" s="11" t="str">
        <f aca="false">IF(A23="","",IF(COUNTIF(Продажи!$C$2:$C$1000,A23)=0,"",_xlfn.MAXIFS(Продажи!$A$2:$A$1000,Продажи!$C$2:$C$1000,A23)))</f>
        <v/>
      </c>
    </row>
    <row r="24" customFormat="false" ht="15" hidden="false" customHeight="false" outlineLevel="0" collapsed="false">
      <c r="A24" s="6"/>
      <c r="B24" s="6"/>
      <c r="C24" s="6"/>
      <c r="D24" s="6"/>
      <c r="E24" s="8" t="str">
        <f aca="false">IF(A24="","",SUMIFS(Продажи!$H$2:$H$1000,Продажи!$C$2:$C$1000,A24))</f>
        <v/>
      </c>
      <c r="F24" s="11" t="str">
        <f aca="false">IF(A24="","",IF(COUNTIF(Продажи!$C$2:$C$1000,A24)=0,"",_xlfn.MAXIFS(Продажи!$A$2:$A$1000,Продажи!$C$2:$C$1000,A24)))</f>
        <v/>
      </c>
    </row>
    <row r="25" customFormat="false" ht="15" hidden="false" customHeight="false" outlineLevel="0" collapsed="false">
      <c r="A25" s="6"/>
      <c r="B25" s="6"/>
      <c r="C25" s="6"/>
      <c r="D25" s="6"/>
      <c r="E25" s="8" t="str">
        <f aca="false">IF(A25="","",SUMIFS(Продажи!$H$2:$H$1000,Продажи!$C$2:$C$1000,A25))</f>
        <v/>
      </c>
      <c r="F25" s="11" t="str">
        <f aca="false">IF(A25="","",IF(COUNTIF(Продажи!$C$2:$C$1000,A25)=0,"",_xlfn.MAXIFS(Продажи!$A$2:$A$1000,Продажи!$C$2:$C$1000,A25)))</f>
        <v/>
      </c>
    </row>
    <row r="26" customFormat="false" ht="15" hidden="false" customHeight="false" outlineLevel="0" collapsed="false">
      <c r="A26" s="6"/>
      <c r="B26" s="6"/>
      <c r="C26" s="6"/>
      <c r="D26" s="6"/>
      <c r="E26" s="8" t="str">
        <f aca="false">IF(A26="","",SUMIFS(Продажи!$H$2:$H$1000,Продажи!$C$2:$C$1000,A26))</f>
        <v/>
      </c>
      <c r="F26" s="11" t="str">
        <f aca="false">IF(A26="","",IF(COUNTIF(Продажи!$C$2:$C$1000,A26)=0,"",_xlfn.MAXIFS(Продажи!$A$2:$A$1000,Продажи!$C$2:$C$1000,A26)))</f>
        <v/>
      </c>
    </row>
    <row r="27" customFormat="false" ht="15" hidden="false" customHeight="false" outlineLevel="0" collapsed="false">
      <c r="A27" s="6"/>
      <c r="B27" s="6"/>
      <c r="C27" s="6"/>
      <c r="D27" s="6"/>
      <c r="E27" s="8" t="str">
        <f aca="false">IF(A27="","",SUMIFS(Продажи!$H$2:$H$1000,Продажи!$C$2:$C$1000,A27))</f>
        <v/>
      </c>
      <c r="F27" s="11" t="str">
        <f aca="false">IF(A27="","",IF(COUNTIF(Продажи!$C$2:$C$1000,A27)=0,"",_xlfn.MAXIFS(Продажи!$A$2:$A$1000,Продажи!$C$2:$C$1000,A27)))</f>
        <v/>
      </c>
    </row>
    <row r="28" customFormat="false" ht="15" hidden="false" customHeight="false" outlineLevel="0" collapsed="false">
      <c r="A28" s="6"/>
      <c r="B28" s="6"/>
      <c r="C28" s="6"/>
      <c r="D28" s="6"/>
      <c r="E28" s="8" t="str">
        <f aca="false">IF(A28="","",SUMIFS(Продажи!$H$2:$H$1000,Продажи!$C$2:$C$1000,A28))</f>
        <v/>
      </c>
      <c r="F28" s="11" t="str">
        <f aca="false">IF(A28="","",IF(COUNTIF(Продажи!$C$2:$C$1000,A28)=0,"",_xlfn.MAXIFS(Продажи!$A$2:$A$1000,Продажи!$C$2:$C$1000,A28)))</f>
        <v/>
      </c>
    </row>
    <row r="29" customFormat="false" ht="15" hidden="false" customHeight="false" outlineLevel="0" collapsed="false">
      <c r="A29" s="6"/>
      <c r="B29" s="6"/>
      <c r="C29" s="6"/>
      <c r="D29" s="6"/>
      <c r="E29" s="8" t="str">
        <f aca="false">IF(A29="","",SUMIFS(Продажи!$H$2:$H$1000,Продажи!$C$2:$C$1000,A29))</f>
        <v/>
      </c>
      <c r="F29" s="11" t="str">
        <f aca="false">IF(A29="","",IF(COUNTIF(Продажи!$C$2:$C$1000,A29)=0,"",_xlfn.MAXIFS(Продажи!$A$2:$A$1000,Продажи!$C$2:$C$1000,A29)))</f>
        <v/>
      </c>
    </row>
    <row r="30" customFormat="false" ht="15" hidden="false" customHeight="false" outlineLevel="0" collapsed="false">
      <c r="A30" s="6"/>
      <c r="B30" s="6"/>
      <c r="C30" s="6"/>
      <c r="D30" s="6"/>
      <c r="E30" s="8" t="str">
        <f aca="false">IF(A30="","",SUMIFS(Продажи!$H$2:$H$1000,Продажи!$C$2:$C$1000,A30))</f>
        <v/>
      </c>
      <c r="F30" s="11" t="str">
        <f aca="false">IF(A30="","",IF(COUNTIF(Продажи!$C$2:$C$1000,A30)=0,"",_xlfn.MAXIFS(Продажи!$A$2:$A$1000,Продажи!$C$2:$C$1000,A30)))</f>
        <v/>
      </c>
    </row>
    <row r="31" customFormat="false" ht="15" hidden="false" customHeight="false" outlineLevel="0" collapsed="false">
      <c r="A31" s="6"/>
      <c r="B31" s="6"/>
      <c r="C31" s="6"/>
      <c r="D31" s="6"/>
      <c r="E31" s="8" t="str">
        <f aca="false">IF(A31="","",SUMIFS(Продажи!$H$2:$H$1000,Продажи!$C$2:$C$1000,A31))</f>
        <v/>
      </c>
      <c r="F31" s="11" t="str">
        <f aca="false">IF(A31="","",IF(COUNTIF(Продажи!$C$2:$C$1000,A31)=0,"",_xlfn.MAXIFS(Продажи!$A$2:$A$1000,Продажи!$C$2:$C$1000,A31)))</f>
        <v/>
      </c>
    </row>
    <row r="32" customFormat="false" ht="15" hidden="false" customHeight="false" outlineLevel="0" collapsed="false">
      <c r="A32" s="6"/>
      <c r="B32" s="6"/>
      <c r="C32" s="6"/>
      <c r="D32" s="6"/>
      <c r="E32" s="8" t="str">
        <f aca="false">IF(A32="","",SUMIFS(Продажи!$H$2:$H$1000,Продажи!$C$2:$C$1000,A32))</f>
        <v/>
      </c>
      <c r="F32" s="11" t="str">
        <f aca="false">IF(A32="","",IF(COUNTIF(Продажи!$C$2:$C$1000,A32)=0,"",_xlfn.MAXIFS(Продажи!$A$2:$A$1000,Продажи!$C$2:$C$1000,A32)))</f>
        <v/>
      </c>
    </row>
    <row r="33" customFormat="false" ht="15" hidden="false" customHeight="false" outlineLevel="0" collapsed="false">
      <c r="A33" s="6"/>
      <c r="B33" s="6"/>
      <c r="C33" s="6"/>
      <c r="D33" s="6"/>
      <c r="E33" s="8" t="str">
        <f aca="false">IF(A33="","",SUMIFS(Продажи!$H$2:$H$1000,Продажи!$C$2:$C$1000,A33))</f>
        <v/>
      </c>
      <c r="F33" s="11" t="str">
        <f aca="false">IF(A33="","",IF(COUNTIF(Продажи!$C$2:$C$1000,A33)=0,"",_xlfn.MAXIFS(Продажи!$A$2:$A$1000,Продажи!$C$2:$C$1000,A33)))</f>
        <v/>
      </c>
    </row>
    <row r="34" customFormat="false" ht="15" hidden="false" customHeight="false" outlineLevel="0" collapsed="false">
      <c r="A34" s="6"/>
      <c r="B34" s="6"/>
      <c r="C34" s="6"/>
      <c r="D34" s="6"/>
      <c r="E34" s="8" t="str">
        <f aca="false">IF(A34="","",SUMIFS(Продажи!$H$2:$H$1000,Продажи!$C$2:$C$1000,A34))</f>
        <v/>
      </c>
      <c r="F34" s="11" t="str">
        <f aca="false">IF(A34="","",IF(COUNTIF(Продажи!$C$2:$C$1000,A34)=0,"",_xlfn.MAXIFS(Продажи!$A$2:$A$1000,Продажи!$C$2:$C$1000,A34)))</f>
        <v/>
      </c>
    </row>
    <row r="35" customFormat="false" ht="15" hidden="false" customHeight="false" outlineLevel="0" collapsed="false">
      <c r="A35" s="6"/>
      <c r="B35" s="6"/>
      <c r="C35" s="6"/>
      <c r="D35" s="6"/>
      <c r="E35" s="8" t="str">
        <f aca="false">IF(A35="","",SUMIFS(Продажи!$H$2:$H$1000,Продажи!$C$2:$C$1000,A35))</f>
        <v/>
      </c>
      <c r="F35" s="11" t="str">
        <f aca="false">IF(A35="","",IF(COUNTIF(Продажи!$C$2:$C$1000,A35)=0,"",_xlfn.MAXIFS(Продажи!$A$2:$A$1000,Продажи!$C$2:$C$1000,A35)))</f>
        <v/>
      </c>
    </row>
    <row r="36" customFormat="false" ht="15" hidden="false" customHeight="false" outlineLevel="0" collapsed="false">
      <c r="A36" s="6"/>
      <c r="B36" s="6"/>
      <c r="C36" s="6"/>
      <c r="D36" s="6"/>
      <c r="E36" s="8" t="str">
        <f aca="false">IF(A36="","",SUMIFS(Продажи!$H$2:$H$1000,Продажи!$C$2:$C$1000,A36))</f>
        <v/>
      </c>
      <c r="F36" s="11" t="str">
        <f aca="false">IF(A36="","",IF(COUNTIF(Продажи!$C$2:$C$1000,A36)=0,"",_xlfn.MAXIFS(Продажи!$A$2:$A$1000,Продажи!$C$2:$C$1000,A36)))</f>
        <v/>
      </c>
    </row>
    <row r="37" customFormat="false" ht="15" hidden="false" customHeight="false" outlineLevel="0" collapsed="false">
      <c r="A37" s="6"/>
      <c r="B37" s="6"/>
      <c r="C37" s="6"/>
      <c r="D37" s="6"/>
      <c r="E37" s="8" t="str">
        <f aca="false">IF(A37="","",SUMIFS(Продажи!$H$2:$H$1000,Продажи!$C$2:$C$1000,A37))</f>
        <v/>
      </c>
      <c r="F37" s="11" t="str">
        <f aca="false">IF(A37="","",IF(COUNTIF(Продажи!$C$2:$C$1000,A37)=0,"",_xlfn.MAXIFS(Продажи!$A$2:$A$1000,Продажи!$C$2:$C$1000,A37)))</f>
        <v/>
      </c>
    </row>
    <row r="38" customFormat="false" ht="15" hidden="false" customHeight="false" outlineLevel="0" collapsed="false">
      <c r="A38" s="6"/>
      <c r="B38" s="6"/>
      <c r="C38" s="6"/>
      <c r="D38" s="6"/>
      <c r="E38" s="8" t="str">
        <f aca="false">IF(A38="","",SUMIFS(Продажи!$H$2:$H$1000,Продажи!$C$2:$C$1000,A38))</f>
        <v/>
      </c>
      <c r="F38" s="11" t="str">
        <f aca="false">IF(A38="","",IF(COUNTIF(Продажи!$C$2:$C$1000,A38)=0,"",_xlfn.MAXIFS(Продажи!$A$2:$A$1000,Продажи!$C$2:$C$1000,A38)))</f>
        <v/>
      </c>
    </row>
    <row r="39" customFormat="false" ht="15" hidden="false" customHeight="false" outlineLevel="0" collapsed="false">
      <c r="A39" s="6"/>
      <c r="B39" s="6"/>
      <c r="C39" s="6"/>
      <c r="D39" s="6"/>
      <c r="E39" s="8" t="str">
        <f aca="false">IF(A39="","",SUMIFS(Продажи!$H$2:$H$1000,Продажи!$C$2:$C$1000,A39))</f>
        <v/>
      </c>
      <c r="F39" s="11" t="str">
        <f aca="false">IF(A39="","",IF(COUNTIF(Продажи!$C$2:$C$1000,A39)=0,"",_xlfn.MAXIFS(Продажи!$A$2:$A$1000,Продажи!$C$2:$C$1000,A39)))</f>
        <v/>
      </c>
    </row>
    <row r="40" customFormat="false" ht="15" hidden="false" customHeight="false" outlineLevel="0" collapsed="false">
      <c r="A40" s="6"/>
      <c r="B40" s="6"/>
      <c r="C40" s="6"/>
      <c r="D40" s="6"/>
      <c r="E40" s="8" t="str">
        <f aca="false">IF(A40="","",SUMIFS(Продажи!$H$2:$H$1000,Продажи!$C$2:$C$1000,A40))</f>
        <v/>
      </c>
      <c r="F40" s="11" t="str">
        <f aca="false">IF(A40="","",IF(COUNTIF(Продажи!$C$2:$C$1000,A40)=0,"",_xlfn.MAXIFS(Продажи!$A$2:$A$1000,Продажи!$C$2:$C$1000,A40)))</f>
        <v/>
      </c>
    </row>
    <row r="41" customFormat="false" ht="15" hidden="false" customHeight="false" outlineLevel="0" collapsed="false">
      <c r="A41" s="6"/>
      <c r="B41" s="6"/>
      <c r="C41" s="6"/>
      <c r="D41" s="6"/>
      <c r="E41" s="8" t="str">
        <f aca="false">IF(A41="","",SUMIFS(Продажи!$H$2:$H$1000,Продажи!$C$2:$C$1000,A41))</f>
        <v/>
      </c>
      <c r="F41" s="11" t="str">
        <f aca="false">IF(A41="","",IF(COUNTIF(Продажи!$C$2:$C$1000,A41)=0,"",_xlfn.MAXIFS(Продажи!$A$2:$A$1000,Продажи!$C$2:$C$1000,A41)))</f>
        <v/>
      </c>
    </row>
    <row r="42" customFormat="false" ht="15" hidden="false" customHeight="false" outlineLevel="0" collapsed="false">
      <c r="A42" s="6"/>
      <c r="B42" s="6"/>
      <c r="C42" s="6"/>
      <c r="D42" s="6"/>
      <c r="E42" s="8" t="str">
        <f aca="false">IF(A42="","",SUMIFS(Продажи!$H$2:$H$1000,Продажи!$C$2:$C$1000,A42))</f>
        <v/>
      </c>
      <c r="F42" s="11" t="str">
        <f aca="false">IF(A42="","",IF(COUNTIF(Продажи!$C$2:$C$1000,A42)=0,"",_xlfn.MAXIFS(Продажи!$A$2:$A$1000,Продажи!$C$2:$C$1000,A42)))</f>
        <v/>
      </c>
    </row>
    <row r="43" customFormat="false" ht="15" hidden="false" customHeight="false" outlineLevel="0" collapsed="false">
      <c r="A43" s="6"/>
      <c r="B43" s="6"/>
      <c r="C43" s="6"/>
      <c r="D43" s="6"/>
      <c r="E43" s="8" t="str">
        <f aca="false">IF(A43="","",SUMIFS(Продажи!$H$2:$H$1000,Продажи!$C$2:$C$1000,A43))</f>
        <v/>
      </c>
      <c r="F43" s="11" t="str">
        <f aca="false">IF(A43="","",IF(COUNTIF(Продажи!$C$2:$C$1000,A43)=0,"",_xlfn.MAXIFS(Продажи!$A$2:$A$1000,Продажи!$C$2:$C$1000,A43)))</f>
        <v/>
      </c>
    </row>
    <row r="44" customFormat="false" ht="15" hidden="false" customHeight="false" outlineLevel="0" collapsed="false">
      <c r="A44" s="6"/>
      <c r="B44" s="6"/>
      <c r="C44" s="6"/>
      <c r="D44" s="6"/>
      <c r="E44" s="8" t="str">
        <f aca="false">IF(A44="","",SUMIFS(Продажи!$H$2:$H$1000,Продажи!$C$2:$C$1000,A44))</f>
        <v/>
      </c>
      <c r="F44" s="11" t="str">
        <f aca="false">IF(A44="","",IF(COUNTIF(Продажи!$C$2:$C$1000,A44)=0,"",_xlfn.MAXIFS(Продажи!$A$2:$A$1000,Продажи!$C$2:$C$1000,A44)))</f>
        <v/>
      </c>
    </row>
    <row r="45" customFormat="false" ht="15" hidden="false" customHeight="false" outlineLevel="0" collapsed="false">
      <c r="A45" s="6"/>
      <c r="B45" s="6"/>
      <c r="C45" s="6"/>
      <c r="D45" s="6"/>
      <c r="E45" s="8" t="str">
        <f aca="false">IF(A45="","",SUMIFS(Продажи!$H$2:$H$1000,Продажи!$C$2:$C$1000,A45))</f>
        <v/>
      </c>
      <c r="F45" s="11" t="str">
        <f aca="false">IF(A45="","",IF(COUNTIF(Продажи!$C$2:$C$1000,A45)=0,"",_xlfn.MAXIFS(Продажи!$A$2:$A$1000,Продажи!$C$2:$C$1000,A45)))</f>
        <v/>
      </c>
    </row>
    <row r="46" customFormat="false" ht="15" hidden="false" customHeight="false" outlineLevel="0" collapsed="false">
      <c r="A46" s="6"/>
      <c r="B46" s="6"/>
      <c r="C46" s="6"/>
      <c r="D46" s="6"/>
      <c r="E46" s="8" t="str">
        <f aca="false">IF(A46="","",SUMIFS(Продажи!$H$2:$H$1000,Продажи!$C$2:$C$1000,A46))</f>
        <v/>
      </c>
      <c r="F46" s="11" t="str">
        <f aca="false">IF(A46="","",IF(COUNTIF(Продажи!$C$2:$C$1000,A46)=0,"",_xlfn.MAXIFS(Продажи!$A$2:$A$1000,Продажи!$C$2:$C$1000,A46)))</f>
        <v/>
      </c>
    </row>
    <row r="47" customFormat="false" ht="15" hidden="false" customHeight="false" outlineLevel="0" collapsed="false">
      <c r="A47" s="6"/>
      <c r="B47" s="6"/>
      <c r="C47" s="6"/>
      <c r="D47" s="6"/>
      <c r="E47" s="8" t="str">
        <f aca="false">IF(A47="","",SUMIFS(Продажи!$H$2:$H$1000,Продажи!$C$2:$C$1000,A47))</f>
        <v/>
      </c>
      <c r="F47" s="11" t="str">
        <f aca="false">IF(A47="","",IF(COUNTIF(Продажи!$C$2:$C$1000,A47)=0,"",_xlfn.MAXIFS(Продажи!$A$2:$A$1000,Продажи!$C$2:$C$1000,A47)))</f>
        <v/>
      </c>
    </row>
    <row r="48" customFormat="false" ht="15" hidden="false" customHeight="false" outlineLevel="0" collapsed="false">
      <c r="A48" s="6"/>
      <c r="B48" s="6"/>
      <c r="C48" s="6"/>
      <c r="D48" s="6"/>
      <c r="E48" s="8" t="str">
        <f aca="false">IF(A48="","",SUMIFS(Продажи!$H$2:$H$1000,Продажи!$C$2:$C$1000,A48))</f>
        <v/>
      </c>
      <c r="F48" s="11" t="str">
        <f aca="false">IF(A48="","",IF(COUNTIF(Продажи!$C$2:$C$1000,A48)=0,"",_xlfn.MAXIFS(Продажи!$A$2:$A$1000,Продажи!$C$2:$C$1000,A48)))</f>
        <v/>
      </c>
    </row>
    <row r="49" customFormat="false" ht="15" hidden="false" customHeight="false" outlineLevel="0" collapsed="false">
      <c r="A49" s="6"/>
      <c r="B49" s="6"/>
      <c r="C49" s="6"/>
      <c r="D49" s="6"/>
      <c r="E49" s="8" t="str">
        <f aca="false">IF(A49="","",SUMIFS(Продажи!$H$2:$H$1000,Продажи!$C$2:$C$1000,A49))</f>
        <v/>
      </c>
      <c r="F49" s="11" t="str">
        <f aca="false">IF(A49="","",IF(COUNTIF(Продажи!$C$2:$C$1000,A49)=0,"",_xlfn.MAXIFS(Продажи!$A$2:$A$1000,Продажи!$C$2:$C$1000,A49)))</f>
        <v/>
      </c>
    </row>
    <row r="50" customFormat="false" ht="15" hidden="false" customHeight="false" outlineLevel="0" collapsed="false">
      <c r="A50" s="6"/>
      <c r="B50" s="6"/>
      <c r="C50" s="6"/>
      <c r="D50" s="6"/>
      <c r="E50" s="8" t="str">
        <f aca="false">IF(A50="","",SUMIFS(Продажи!$H$2:$H$1000,Продажи!$C$2:$C$1000,A50))</f>
        <v/>
      </c>
      <c r="F50" s="11" t="str">
        <f aca="false">IF(A50="","",IF(COUNTIF(Продажи!$C$2:$C$1000,A50)=0,"",_xlfn.MAXIFS(Продажи!$A$2:$A$1000,Продажи!$C$2:$C$1000,A50)))</f>
        <v/>
      </c>
    </row>
    <row r="51" customFormat="false" ht="15" hidden="false" customHeight="false" outlineLevel="0" collapsed="false">
      <c r="A51" s="6"/>
      <c r="B51" s="6"/>
      <c r="C51" s="6"/>
      <c r="D51" s="6"/>
      <c r="E51" s="8" t="str">
        <f aca="false">IF(A51="","",SUMIFS(Продажи!$H$2:$H$1000,Продажи!$C$2:$C$1000,A51))</f>
        <v/>
      </c>
      <c r="F51" s="11" t="str">
        <f aca="false">IF(A51="","",IF(COUNTIF(Продажи!$C$2:$C$1000,A51)=0,"",_xlfn.MAXIFS(Продажи!$A$2:$A$1000,Продажи!$C$2:$C$1000,A51)))</f>
        <v/>
      </c>
    </row>
    <row r="52" customFormat="false" ht="15" hidden="false" customHeight="false" outlineLevel="0" collapsed="false">
      <c r="A52" s="6"/>
      <c r="B52" s="6"/>
      <c r="C52" s="6"/>
      <c r="D52" s="6"/>
      <c r="E52" s="8" t="str">
        <f aca="false">IF(A52="","",SUMIFS(Продажи!$H$2:$H$1000,Продажи!$C$2:$C$1000,A52))</f>
        <v/>
      </c>
      <c r="F52" s="11" t="str">
        <f aca="false">IF(A52="","",IF(COUNTIF(Продажи!$C$2:$C$1000,A52)=0,"",_xlfn.MAXIFS(Продажи!$A$2:$A$1000,Продажи!$C$2:$C$1000,A52)))</f>
        <v/>
      </c>
    </row>
    <row r="53" customFormat="false" ht="15" hidden="false" customHeight="false" outlineLevel="0" collapsed="false">
      <c r="A53" s="6"/>
      <c r="B53" s="6"/>
      <c r="C53" s="6"/>
      <c r="D53" s="6"/>
      <c r="E53" s="8" t="str">
        <f aca="false">IF(A53="","",SUMIFS(Продажи!$H$2:$H$1000,Продажи!$C$2:$C$1000,A53))</f>
        <v/>
      </c>
      <c r="F53" s="11" t="str">
        <f aca="false">IF(A53="","",IF(COUNTIF(Продажи!$C$2:$C$1000,A53)=0,"",_xlfn.MAXIFS(Продажи!$A$2:$A$1000,Продажи!$C$2:$C$1000,A53)))</f>
        <v/>
      </c>
    </row>
    <row r="54" customFormat="false" ht="15" hidden="false" customHeight="false" outlineLevel="0" collapsed="false">
      <c r="A54" s="6"/>
      <c r="B54" s="6"/>
      <c r="C54" s="6"/>
      <c r="D54" s="6"/>
      <c r="E54" s="8" t="str">
        <f aca="false">IF(A54="","",SUMIFS(Продажи!$H$2:$H$1000,Продажи!$C$2:$C$1000,A54))</f>
        <v/>
      </c>
      <c r="F54" s="11" t="str">
        <f aca="false">IF(A54="","",IF(COUNTIF(Продажи!$C$2:$C$1000,A54)=0,"",_xlfn.MAXIFS(Продажи!$A$2:$A$1000,Продажи!$C$2:$C$1000,A54)))</f>
        <v/>
      </c>
    </row>
    <row r="55" customFormat="false" ht="15" hidden="false" customHeight="false" outlineLevel="0" collapsed="false">
      <c r="A55" s="6"/>
      <c r="B55" s="6"/>
      <c r="C55" s="6"/>
      <c r="D55" s="6"/>
      <c r="E55" s="8" t="str">
        <f aca="false">IF(A55="","",SUMIFS(Продажи!$H$2:$H$1000,Продажи!$C$2:$C$1000,A55))</f>
        <v/>
      </c>
      <c r="F55" s="11" t="str">
        <f aca="false">IF(A55="","",IF(COUNTIF(Продажи!$C$2:$C$1000,A55)=0,"",_xlfn.MAXIFS(Продажи!$A$2:$A$1000,Продажи!$C$2:$C$1000,A55)))</f>
        <v/>
      </c>
    </row>
    <row r="56" customFormat="false" ht="15" hidden="false" customHeight="false" outlineLevel="0" collapsed="false">
      <c r="A56" s="6"/>
      <c r="B56" s="6"/>
      <c r="C56" s="6"/>
      <c r="D56" s="6"/>
      <c r="E56" s="8" t="str">
        <f aca="false">IF(A56="","",SUMIFS(Продажи!$H$2:$H$1000,Продажи!$C$2:$C$1000,A56))</f>
        <v/>
      </c>
      <c r="F56" s="11" t="str">
        <f aca="false">IF(A56="","",IF(COUNTIF(Продажи!$C$2:$C$1000,A56)=0,"",_xlfn.MAXIFS(Продажи!$A$2:$A$1000,Продажи!$C$2:$C$1000,A56)))</f>
        <v/>
      </c>
    </row>
    <row r="57" customFormat="false" ht="15" hidden="false" customHeight="false" outlineLevel="0" collapsed="false">
      <c r="A57" s="6"/>
      <c r="B57" s="6"/>
      <c r="C57" s="6"/>
      <c r="D57" s="6"/>
      <c r="E57" s="8" t="str">
        <f aca="false">IF(A57="","",SUMIFS(Продажи!$H$2:$H$1000,Продажи!$C$2:$C$1000,A57))</f>
        <v/>
      </c>
      <c r="F57" s="11" t="str">
        <f aca="false">IF(A57="","",IF(COUNTIF(Продажи!$C$2:$C$1000,A57)=0,"",_xlfn.MAXIFS(Продажи!$A$2:$A$1000,Продажи!$C$2:$C$1000,A57)))</f>
        <v/>
      </c>
    </row>
    <row r="58" customFormat="false" ht="15" hidden="false" customHeight="false" outlineLevel="0" collapsed="false">
      <c r="A58" s="6"/>
      <c r="B58" s="6"/>
      <c r="C58" s="6"/>
      <c r="D58" s="6"/>
      <c r="E58" s="8" t="str">
        <f aca="false">IF(A58="","",SUMIFS(Продажи!$H$2:$H$1000,Продажи!$C$2:$C$1000,A58))</f>
        <v/>
      </c>
      <c r="F58" s="11" t="str">
        <f aca="false">IF(A58="","",IF(COUNTIF(Продажи!$C$2:$C$1000,A58)=0,"",_xlfn.MAXIFS(Продажи!$A$2:$A$1000,Продажи!$C$2:$C$1000,A58)))</f>
        <v/>
      </c>
    </row>
    <row r="59" customFormat="false" ht="15" hidden="false" customHeight="false" outlineLevel="0" collapsed="false">
      <c r="A59" s="6"/>
      <c r="B59" s="6"/>
      <c r="C59" s="6"/>
      <c r="D59" s="6"/>
      <c r="E59" s="8" t="str">
        <f aca="false">IF(A59="","",SUMIFS(Продажи!$H$2:$H$1000,Продажи!$C$2:$C$1000,A59))</f>
        <v/>
      </c>
      <c r="F59" s="11" t="str">
        <f aca="false">IF(A59="","",IF(COUNTIF(Продажи!$C$2:$C$1000,A59)=0,"",_xlfn.MAXIFS(Продажи!$A$2:$A$1000,Продажи!$C$2:$C$1000,A59)))</f>
        <v/>
      </c>
    </row>
    <row r="60" customFormat="false" ht="15" hidden="false" customHeight="false" outlineLevel="0" collapsed="false">
      <c r="A60" s="6"/>
      <c r="B60" s="6"/>
      <c r="C60" s="6"/>
      <c r="D60" s="6"/>
      <c r="E60" s="8" t="str">
        <f aca="false">IF(A60="","",SUMIFS(Продажи!$H$2:$H$1000,Продажи!$C$2:$C$1000,A60))</f>
        <v/>
      </c>
      <c r="F60" s="11" t="str">
        <f aca="false">IF(A60="","",IF(COUNTIF(Продажи!$C$2:$C$1000,A60)=0,"",_xlfn.MAXIFS(Продажи!$A$2:$A$1000,Продажи!$C$2:$C$1000,A60)))</f>
        <v/>
      </c>
    </row>
    <row r="61" customFormat="false" ht="15" hidden="false" customHeight="false" outlineLevel="0" collapsed="false">
      <c r="A61" s="6"/>
      <c r="B61" s="6"/>
      <c r="C61" s="6"/>
      <c r="D61" s="6"/>
      <c r="E61" s="8" t="str">
        <f aca="false">IF(A61="","",SUMIFS(Продажи!$H$2:$H$1000,Продажи!$C$2:$C$1000,A61))</f>
        <v/>
      </c>
      <c r="F61" s="11" t="str">
        <f aca="false">IF(A61="","",IF(COUNTIF(Продажи!$C$2:$C$1000,A61)=0,"",_xlfn.MAXIFS(Продажи!$A$2:$A$1000,Продажи!$C$2:$C$1000,A61)))</f>
        <v/>
      </c>
    </row>
    <row r="62" customFormat="false" ht="15" hidden="false" customHeight="false" outlineLevel="0" collapsed="false">
      <c r="A62" s="6"/>
      <c r="B62" s="6"/>
      <c r="C62" s="6"/>
      <c r="D62" s="6"/>
      <c r="E62" s="8" t="str">
        <f aca="false">IF(A62="","",SUMIFS(Продажи!$H$2:$H$1000,Продажи!$C$2:$C$1000,A62))</f>
        <v/>
      </c>
      <c r="F62" s="11" t="str">
        <f aca="false">IF(A62="","",IF(COUNTIF(Продажи!$C$2:$C$1000,A62)=0,"",_xlfn.MAXIFS(Продажи!$A$2:$A$1000,Продажи!$C$2:$C$1000,A62)))</f>
        <v/>
      </c>
    </row>
    <row r="63" customFormat="false" ht="15" hidden="false" customHeight="false" outlineLevel="0" collapsed="false">
      <c r="A63" s="6"/>
      <c r="B63" s="6"/>
      <c r="C63" s="6"/>
      <c r="D63" s="6"/>
      <c r="E63" s="8" t="str">
        <f aca="false">IF(A63="","",SUMIFS(Продажи!$H$2:$H$1000,Продажи!$C$2:$C$1000,A63))</f>
        <v/>
      </c>
      <c r="F63" s="11" t="str">
        <f aca="false">IF(A63="","",IF(COUNTIF(Продажи!$C$2:$C$1000,A63)=0,"",_xlfn.MAXIFS(Продажи!$A$2:$A$1000,Продажи!$C$2:$C$1000,A63)))</f>
        <v/>
      </c>
    </row>
    <row r="64" customFormat="false" ht="15" hidden="false" customHeight="false" outlineLevel="0" collapsed="false">
      <c r="A64" s="6"/>
      <c r="B64" s="6"/>
      <c r="C64" s="6"/>
      <c r="D64" s="6"/>
      <c r="E64" s="8" t="str">
        <f aca="false">IF(A64="","",SUMIFS(Продажи!$H$2:$H$1000,Продажи!$C$2:$C$1000,A64))</f>
        <v/>
      </c>
      <c r="F64" s="11" t="str">
        <f aca="false">IF(A64="","",IF(COUNTIF(Продажи!$C$2:$C$1000,A64)=0,"",_xlfn.MAXIFS(Продажи!$A$2:$A$1000,Продажи!$C$2:$C$1000,A64)))</f>
        <v/>
      </c>
    </row>
    <row r="65" customFormat="false" ht="15" hidden="false" customHeight="false" outlineLevel="0" collapsed="false">
      <c r="A65" s="6"/>
      <c r="B65" s="6"/>
      <c r="C65" s="6"/>
      <c r="D65" s="6"/>
      <c r="E65" s="8" t="str">
        <f aca="false">IF(A65="","",SUMIFS(Продажи!$H$2:$H$1000,Продажи!$C$2:$C$1000,A65))</f>
        <v/>
      </c>
      <c r="F65" s="11" t="str">
        <f aca="false">IF(A65="","",IF(COUNTIF(Продажи!$C$2:$C$1000,A65)=0,"",_xlfn.MAXIFS(Продажи!$A$2:$A$1000,Продажи!$C$2:$C$1000,A65)))</f>
        <v/>
      </c>
    </row>
    <row r="66" customFormat="false" ht="15" hidden="false" customHeight="false" outlineLevel="0" collapsed="false">
      <c r="A66" s="6"/>
      <c r="B66" s="6"/>
      <c r="C66" s="6"/>
      <c r="D66" s="6"/>
      <c r="E66" s="8" t="str">
        <f aca="false">IF(A66="","",SUMIFS(Продажи!$H$2:$H$1000,Продажи!$C$2:$C$1000,A66))</f>
        <v/>
      </c>
      <c r="F66" s="11" t="str">
        <f aca="false">IF(A66="","",IF(COUNTIF(Продажи!$C$2:$C$1000,A66)=0,"",_xlfn.MAXIFS(Продажи!$A$2:$A$1000,Продажи!$C$2:$C$1000,A66)))</f>
        <v/>
      </c>
    </row>
    <row r="67" customFormat="false" ht="15" hidden="false" customHeight="false" outlineLevel="0" collapsed="false">
      <c r="A67" s="6"/>
      <c r="B67" s="6"/>
      <c r="C67" s="6"/>
      <c r="D67" s="6"/>
      <c r="E67" s="8" t="str">
        <f aca="false">IF(A67="","",SUMIFS(Продажи!$H$2:$H$1000,Продажи!$C$2:$C$1000,A67))</f>
        <v/>
      </c>
      <c r="F67" s="11" t="str">
        <f aca="false">IF(A67="","",IF(COUNTIF(Продажи!$C$2:$C$1000,A67)=0,"",_xlfn.MAXIFS(Продажи!$A$2:$A$1000,Продажи!$C$2:$C$1000,A67)))</f>
        <v/>
      </c>
    </row>
    <row r="68" customFormat="false" ht="15" hidden="false" customHeight="false" outlineLevel="0" collapsed="false">
      <c r="A68" s="6"/>
      <c r="B68" s="6"/>
      <c r="C68" s="6"/>
      <c r="D68" s="6"/>
      <c r="E68" s="8" t="str">
        <f aca="false">IF(A68="","",SUMIFS(Продажи!$H$2:$H$1000,Продажи!$C$2:$C$1000,A68))</f>
        <v/>
      </c>
      <c r="F68" s="11" t="str">
        <f aca="false">IF(A68="","",IF(COUNTIF(Продажи!$C$2:$C$1000,A68)=0,"",_xlfn.MAXIFS(Продажи!$A$2:$A$1000,Продажи!$C$2:$C$1000,A68)))</f>
        <v/>
      </c>
    </row>
    <row r="69" customFormat="false" ht="15" hidden="false" customHeight="false" outlineLevel="0" collapsed="false">
      <c r="A69" s="6"/>
      <c r="B69" s="6"/>
      <c r="C69" s="6"/>
      <c r="D69" s="6"/>
      <c r="E69" s="8" t="str">
        <f aca="false">IF(A69="","",SUMIFS(Продажи!$H$2:$H$1000,Продажи!$C$2:$C$1000,A69))</f>
        <v/>
      </c>
      <c r="F69" s="11" t="str">
        <f aca="false">IF(A69="","",IF(COUNTIF(Продажи!$C$2:$C$1000,A69)=0,"",_xlfn.MAXIFS(Продажи!$A$2:$A$1000,Продажи!$C$2:$C$1000,A69)))</f>
        <v/>
      </c>
    </row>
    <row r="70" customFormat="false" ht="15" hidden="false" customHeight="false" outlineLevel="0" collapsed="false">
      <c r="A70" s="6"/>
      <c r="B70" s="6"/>
      <c r="C70" s="6"/>
      <c r="D70" s="6"/>
      <c r="E70" s="8" t="str">
        <f aca="false">IF(A70="","",SUMIFS(Продажи!$H$2:$H$1000,Продажи!$C$2:$C$1000,A70))</f>
        <v/>
      </c>
      <c r="F70" s="11" t="str">
        <f aca="false">IF(A70="","",IF(COUNTIF(Продажи!$C$2:$C$1000,A70)=0,"",_xlfn.MAXIFS(Продажи!$A$2:$A$1000,Продажи!$C$2:$C$1000,A70)))</f>
        <v/>
      </c>
    </row>
    <row r="71" customFormat="false" ht="15" hidden="false" customHeight="false" outlineLevel="0" collapsed="false">
      <c r="A71" s="6"/>
      <c r="B71" s="6"/>
      <c r="C71" s="6"/>
      <c r="D71" s="6"/>
      <c r="E71" s="8" t="str">
        <f aca="false">IF(A71="","",SUMIFS(Продажи!$H$2:$H$1000,Продажи!$C$2:$C$1000,A71))</f>
        <v/>
      </c>
      <c r="F71" s="11" t="str">
        <f aca="false">IF(A71="","",IF(COUNTIF(Продажи!$C$2:$C$1000,A71)=0,"",_xlfn.MAXIFS(Продажи!$A$2:$A$1000,Продажи!$C$2:$C$1000,A71)))</f>
        <v/>
      </c>
    </row>
    <row r="72" customFormat="false" ht="15" hidden="false" customHeight="false" outlineLevel="0" collapsed="false">
      <c r="A72" s="6"/>
      <c r="B72" s="6"/>
      <c r="C72" s="6"/>
      <c r="D72" s="6"/>
      <c r="E72" s="8" t="str">
        <f aca="false">IF(A72="","",SUMIFS(Продажи!$H$2:$H$1000,Продажи!$C$2:$C$1000,A72))</f>
        <v/>
      </c>
      <c r="F72" s="11" t="str">
        <f aca="false">IF(A72="","",IF(COUNTIF(Продажи!$C$2:$C$1000,A72)=0,"",_xlfn.MAXIFS(Продажи!$A$2:$A$1000,Продажи!$C$2:$C$1000,A72)))</f>
        <v/>
      </c>
    </row>
    <row r="73" customFormat="false" ht="15" hidden="false" customHeight="false" outlineLevel="0" collapsed="false">
      <c r="A73" s="6"/>
      <c r="B73" s="6"/>
      <c r="C73" s="6"/>
      <c r="D73" s="6"/>
      <c r="E73" s="8" t="str">
        <f aca="false">IF(A73="","",SUMIFS(Продажи!$H$2:$H$1000,Продажи!$C$2:$C$1000,A73))</f>
        <v/>
      </c>
      <c r="F73" s="11" t="str">
        <f aca="false">IF(A73="","",IF(COUNTIF(Продажи!$C$2:$C$1000,A73)=0,"",_xlfn.MAXIFS(Продажи!$A$2:$A$1000,Продажи!$C$2:$C$1000,A73)))</f>
        <v/>
      </c>
    </row>
    <row r="74" customFormat="false" ht="15" hidden="false" customHeight="false" outlineLevel="0" collapsed="false">
      <c r="A74" s="6"/>
      <c r="B74" s="6"/>
      <c r="C74" s="6"/>
      <c r="D74" s="6"/>
      <c r="E74" s="8" t="str">
        <f aca="false">IF(A74="","",SUMIFS(Продажи!$H$2:$H$1000,Продажи!$C$2:$C$1000,A74))</f>
        <v/>
      </c>
      <c r="F74" s="11" t="str">
        <f aca="false">IF(A74="","",IF(COUNTIF(Продажи!$C$2:$C$1000,A74)=0,"",_xlfn.MAXIFS(Продажи!$A$2:$A$1000,Продажи!$C$2:$C$1000,A74)))</f>
        <v/>
      </c>
    </row>
    <row r="75" customFormat="false" ht="15" hidden="false" customHeight="false" outlineLevel="0" collapsed="false">
      <c r="A75" s="6"/>
      <c r="B75" s="6"/>
      <c r="C75" s="6"/>
      <c r="D75" s="6"/>
      <c r="E75" s="8" t="str">
        <f aca="false">IF(A75="","",SUMIFS(Продажи!$H$2:$H$1000,Продажи!$C$2:$C$1000,A75))</f>
        <v/>
      </c>
      <c r="F75" s="11" t="str">
        <f aca="false">IF(A75="","",IF(COUNTIF(Продажи!$C$2:$C$1000,A75)=0,"",_xlfn.MAXIFS(Продажи!$A$2:$A$1000,Продажи!$C$2:$C$1000,A75)))</f>
        <v/>
      </c>
    </row>
    <row r="76" customFormat="false" ht="15" hidden="false" customHeight="false" outlineLevel="0" collapsed="false">
      <c r="A76" s="6"/>
      <c r="B76" s="6"/>
      <c r="C76" s="6"/>
      <c r="D76" s="6"/>
      <c r="E76" s="8" t="str">
        <f aca="false">IF(A76="","",SUMIFS(Продажи!$H$2:$H$1000,Продажи!$C$2:$C$1000,A76))</f>
        <v/>
      </c>
      <c r="F76" s="11" t="str">
        <f aca="false">IF(A76="","",IF(COUNTIF(Продажи!$C$2:$C$1000,A76)=0,"",_xlfn.MAXIFS(Продажи!$A$2:$A$1000,Продажи!$C$2:$C$1000,A76)))</f>
        <v/>
      </c>
    </row>
    <row r="77" customFormat="false" ht="15" hidden="false" customHeight="false" outlineLevel="0" collapsed="false">
      <c r="A77" s="6"/>
      <c r="B77" s="6"/>
      <c r="C77" s="6"/>
      <c r="D77" s="6"/>
      <c r="E77" s="8" t="str">
        <f aca="false">IF(A77="","",SUMIFS(Продажи!$H$2:$H$1000,Продажи!$C$2:$C$1000,A77))</f>
        <v/>
      </c>
      <c r="F77" s="11" t="str">
        <f aca="false">IF(A77="","",IF(COUNTIF(Продажи!$C$2:$C$1000,A77)=0,"",_xlfn.MAXIFS(Продажи!$A$2:$A$1000,Продажи!$C$2:$C$1000,A77)))</f>
        <v/>
      </c>
    </row>
    <row r="78" customFormat="false" ht="15" hidden="false" customHeight="false" outlineLevel="0" collapsed="false">
      <c r="A78" s="6"/>
      <c r="B78" s="6"/>
      <c r="C78" s="6"/>
      <c r="D78" s="6"/>
      <c r="E78" s="8" t="str">
        <f aca="false">IF(A78="","",SUMIFS(Продажи!$H$2:$H$1000,Продажи!$C$2:$C$1000,A78))</f>
        <v/>
      </c>
      <c r="F78" s="11" t="str">
        <f aca="false">IF(A78="","",IF(COUNTIF(Продажи!$C$2:$C$1000,A78)=0,"",_xlfn.MAXIFS(Продажи!$A$2:$A$1000,Продажи!$C$2:$C$1000,A78)))</f>
        <v/>
      </c>
    </row>
    <row r="79" customFormat="false" ht="15" hidden="false" customHeight="false" outlineLevel="0" collapsed="false">
      <c r="A79" s="6"/>
      <c r="B79" s="6"/>
      <c r="C79" s="6"/>
      <c r="D79" s="6"/>
      <c r="E79" s="8" t="str">
        <f aca="false">IF(A79="","",SUMIFS(Продажи!$H$2:$H$1000,Продажи!$C$2:$C$1000,A79))</f>
        <v/>
      </c>
      <c r="F79" s="11" t="str">
        <f aca="false">IF(A79="","",IF(COUNTIF(Продажи!$C$2:$C$1000,A79)=0,"",_xlfn.MAXIFS(Продажи!$A$2:$A$1000,Продажи!$C$2:$C$1000,A79)))</f>
        <v/>
      </c>
    </row>
    <row r="80" customFormat="false" ht="15" hidden="false" customHeight="false" outlineLevel="0" collapsed="false">
      <c r="A80" s="6"/>
      <c r="B80" s="6"/>
      <c r="C80" s="6"/>
      <c r="D80" s="6"/>
      <c r="E80" s="8" t="str">
        <f aca="false">IF(A80="","",SUMIFS(Продажи!$H$2:$H$1000,Продажи!$C$2:$C$1000,A80))</f>
        <v/>
      </c>
      <c r="F80" s="11" t="str">
        <f aca="false">IF(A80="","",IF(COUNTIF(Продажи!$C$2:$C$1000,A80)=0,"",_xlfn.MAXIFS(Продажи!$A$2:$A$1000,Продажи!$C$2:$C$1000,A80)))</f>
        <v/>
      </c>
    </row>
    <row r="81" customFormat="false" ht="15" hidden="false" customHeight="false" outlineLevel="0" collapsed="false">
      <c r="A81" s="6"/>
      <c r="B81" s="6"/>
      <c r="C81" s="6"/>
      <c r="D81" s="6"/>
      <c r="E81" s="8" t="str">
        <f aca="false">IF(A81="","",SUMIFS(Продажи!$H$2:$H$1000,Продажи!$C$2:$C$1000,A81))</f>
        <v/>
      </c>
      <c r="F81" s="11" t="str">
        <f aca="false">IF(A81="","",IF(COUNTIF(Продажи!$C$2:$C$1000,A81)=0,"",_xlfn.MAXIFS(Продажи!$A$2:$A$1000,Продажи!$C$2:$C$1000,A81)))</f>
        <v/>
      </c>
    </row>
    <row r="82" customFormat="false" ht="15" hidden="false" customHeight="false" outlineLevel="0" collapsed="false">
      <c r="A82" s="6"/>
      <c r="B82" s="6"/>
      <c r="C82" s="6"/>
      <c r="D82" s="6"/>
      <c r="E82" s="8" t="str">
        <f aca="false">IF(A82="","",SUMIFS(Продажи!$H$2:$H$1000,Продажи!$C$2:$C$1000,A82))</f>
        <v/>
      </c>
      <c r="F82" s="11" t="str">
        <f aca="false">IF(A82="","",IF(COUNTIF(Продажи!$C$2:$C$1000,A82)=0,"",_xlfn.MAXIFS(Продажи!$A$2:$A$1000,Продажи!$C$2:$C$1000,A82)))</f>
        <v/>
      </c>
    </row>
    <row r="83" customFormat="false" ht="15" hidden="false" customHeight="false" outlineLevel="0" collapsed="false">
      <c r="A83" s="6"/>
      <c r="B83" s="6"/>
      <c r="C83" s="6"/>
      <c r="D83" s="6"/>
      <c r="E83" s="8" t="str">
        <f aca="false">IF(A83="","",SUMIFS(Продажи!$H$2:$H$1000,Продажи!$C$2:$C$1000,A83))</f>
        <v/>
      </c>
      <c r="F83" s="11" t="str">
        <f aca="false">IF(A83="","",IF(COUNTIF(Продажи!$C$2:$C$1000,A83)=0,"",_xlfn.MAXIFS(Продажи!$A$2:$A$1000,Продажи!$C$2:$C$1000,A83)))</f>
        <v/>
      </c>
    </row>
    <row r="84" customFormat="false" ht="15" hidden="false" customHeight="false" outlineLevel="0" collapsed="false">
      <c r="A84" s="6"/>
      <c r="B84" s="6"/>
      <c r="C84" s="6"/>
      <c r="D84" s="6"/>
      <c r="E84" s="8" t="str">
        <f aca="false">IF(A84="","",SUMIFS(Продажи!$H$2:$H$1000,Продажи!$C$2:$C$1000,A84))</f>
        <v/>
      </c>
      <c r="F84" s="11" t="str">
        <f aca="false">IF(A84="","",IF(COUNTIF(Продажи!$C$2:$C$1000,A84)=0,"",_xlfn.MAXIFS(Продажи!$A$2:$A$1000,Продажи!$C$2:$C$1000,A84)))</f>
        <v/>
      </c>
    </row>
    <row r="85" customFormat="false" ht="15" hidden="false" customHeight="false" outlineLevel="0" collapsed="false">
      <c r="A85" s="6"/>
      <c r="B85" s="6"/>
      <c r="C85" s="6"/>
      <c r="D85" s="6"/>
      <c r="E85" s="8" t="str">
        <f aca="false">IF(A85="","",SUMIFS(Продажи!$H$2:$H$1000,Продажи!$C$2:$C$1000,A85))</f>
        <v/>
      </c>
      <c r="F85" s="11" t="str">
        <f aca="false">IF(A85="","",IF(COUNTIF(Продажи!$C$2:$C$1000,A85)=0,"",_xlfn.MAXIFS(Продажи!$A$2:$A$1000,Продажи!$C$2:$C$1000,A85)))</f>
        <v/>
      </c>
    </row>
    <row r="86" customFormat="false" ht="15" hidden="false" customHeight="false" outlineLevel="0" collapsed="false">
      <c r="A86" s="6"/>
      <c r="B86" s="6"/>
      <c r="C86" s="6"/>
      <c r="D86" s="6"/>
      <c r="E86" s="8" t="str">
        <f aca="false">IF(A86="","",SUMIFS(Продажи!$H$2:$H$1000,Продажи!$C$2:$C$1000,A86))</f>
        <v/>
      </c>
      <c r="F86" s="11" t="str">
        <f aca="false">IF(A86="","",IF(COUNTIF(Продажи!$C$2:$C$1000,A86)=0,"",_xlfn.MAXIFS(Продажи!$A$2:$A$1000,Продажи!$C$2:$C$1000,A86)))</f>
        <v/>
      </c>
    </row>
    <row r="87" customFormat="false" ht="15" hidden="false" customHeight="false" outlineLevel="0" collapsed="false">
      <c r="A87" s="6"/>
      <c r="B87" s="6"/>
      <c r="C87" s="6"/>
      <c r="D87" s="6"/>
      <c r="E87" s="8" t="str">
        <f aca="false">IF(A87="","",SUMIFS(Продажи!$H$2:$H$1000,Продажи!$C$2:$C$1000,A87))</f>
        <v/>
      </c>
      <c r="F87" s="11" t="str">
        <f aca="false">IF(A87="","",IF(COUNTIF(Продажи!$C$2:$C$1000,A87)=0,"",_xlfn.MAXIFS(Продажи!$A$2:$A$1000,Продажи!$C$2:$C$1000,A87)))</f>
        <v/>
      </c>
    </row>
    <row r="88" customFormat="false" ht="15" hidden="false" customHeight="false" outlineLevel="0" collapsed="false">
      <c r="A88" s="6"/>
      <c r="B88" s="6"/>
      <c r="C88" s="6"/>
      <c r="D88" s="6"/>
      <c r="E88" s="8" t="str">
        <f aca="false">IF(A88="","",SUMIFS(Продажи!$H$2:$H$1000,Продажи!$C$2:$C$1000,A88))</f>
        <v/>
      </c>
      <c r="F88" s="11" t="str">
        <f aca="false">IF(A88="","",IF(COUNTIF(Продажи!$C$2:$C$1000,A88)=0,"",_xlfn.MAXIFS(Продажи!$A$2:$A$1000,Продажи!$C$2:$C$1000,A88)))</f>
        <v/>
      </c>
    </row>
    <row r="89" customFormat="false" ht="15" hidden="false" customHeight="false" outlineLevel="0" collapsed="false">
      <c r="A89" s="6"/>
      <c r="B89" s="6"/>
      <c r="C89" s="6"/>
      <c r="D89" s="6"/>
      <c r="E89" s="8" t="str">
        <f aca="false">IF(A89="","",SUMIFS(Продажи!$H$2:$H$1000,Продажи!$C$2:$C$1000,A89))</f>
        <v/>
      </c>
      <c r="F89" s="11" t="str">
        <f aca="false">IF(A89="","",IF(COUNTIF(Продажи!$C$2:$C$1000,A89)=0,"",_xlfn.MAXIFS(Продажи!$A$2:$A$1000,Продажи!$C$2:$C$1000,A89)))</f>
        <v/>
      </c>
    </row>
    <row r="90" customFormat="false" ht="15" hidden="false" customHeight="false" outlineLevel="0" collapsed="false">
      <c r="A90" s="6"/>
      <c r="B90" s="6"/>
      <c r="C90" s="6"/>
      <c r="D90" s="6"/>
      <c r="E90" s="8" t="str">
        <f aca="false">IF(A90="","",SUMIFS(Продажи!$H$2:$H$1000,Продажи!$C$2:$C$1000,A90))</f>
        <v/>
      </c>
      <c r="F90" s="11" t="str">
        <f aca="false">IF(A90="","",IF(COUNTIF(Продажи!$C$2:$C$1000,A90)=0,"",_xlfn.MAXIFS(Продажи!$A$2:$A$1000,Продажи!$C$2:$C$1000,A90)))</f>
        <v/>
      </c>
    </row>
    <row r="91" customFormat="false" ht="15" hidden="false" customHeight="false" outlineLevel="0" collapsed="false">
      <c r="A91" s="6"/>
      <c r="B91" s="6"/>
      <c r="C91" s="6"/>
      <c r="D91" s="6"/>
      <c r="E91" s="8" t="str">
        <f aca="false">IF(A91="","",SUMIFS(Продажи!$H$2:$H$1000,Продажи!$C$2:$C$1000,A91))</f>
        <v/>
      </c>
      <c r="F91" s="11" t="str">
        <f aca="false">IF(A91="","",IF(COUNTIF(Продажи!$C$2:$C$1000,A91)=0,"",_xlfn.MAXIFS(Продажи!$A$2:$A$1000,Продажи!$C$2:$C$1000,A91)))</f>
        <v/>
      </c>
    </row>
    <row r="92" customFormat="false" ht="15" hidden="false" customHeight="false" outlineLevel="0" collapsed="false">
      <c r="A92" s="6"/>
      <c r="B92" s="6"/>
      <c r="C92" s="6"/>
      <c r="D92" s="6"/>
      <c r="E92" s="8" t="str">
        <f aca="false">IF(A92="","",SUMIFS(Продажи!$H$2:$H$1000,Продажи!$C$2:$C$1000,A92))</f>
        <v/>
      </c>
      <c r="F92" s="11" t="str">
        <f aca="false">IF(A92="","",IF(COUNTIF(Продажи!$C$2:$C$1000,A92)=0,"",_xlfn.MAXIFS(Продажи!$A$2:$A$1000,Продажи!$C$2:$C$1000,A92)))</f>
        <v/>
      </c>
    </row>
    <row r="93" customFormat="false" ht="15" hidden="false" customHeight="false" outlineLevel="0" collapsed="false">
      <c r="A93" s="6"/>
      <c r="B93" s="6"/>
      <c r="C93" s="6"/>
      <c r="D93" s="6"/>
      <c r="E93" s="8" t="str">
        <f aca="false">IF(A93="","",SUMIFS(Продажи!$H$2:$H$1000,Продажи!$C$2:$C$1000,A93))</f>
        <v/>
      </c>
      <c r="F93" s="11" t="str">
        <f aca="false">IF(A93="","",IF(COUNTIF(Продажи!$C$2:$C$1000,A93)=0,"",_xlfn.MAXIFS(Продажи!$A$2:$A$1000,Продажи!$C$2:$C$1000,A93)))</f>
        <v/>
      </c>
    </row>
    <row r="94" customFormat="false" ht="15" hidden="false" customHeight="false" outlineLevel="0" collapsed="false">
      <c r="A94" s="6"/>
      <c r="B94" s="6"/>
      <c r="C94" s="6"/>
      <c r="D94" s="6"/>
      <c r="E94" s="8" t="str">
        <f aca="false">IF(A94="","",SUMIFS(Продажи!$H$2:$H$1000,Продажи!$C$2:$C$1000,A94))</f>
        <v/>
      </c>
      <c r="F94" s="11" t="str">
        <f aca="false">IF(A94="","",IF(COUNTIF(Продажи!$C$2:$C$1000,A94)=0,"",_xlfn.MAXIFS(Продажи!$A$2:$A$1000,Продажи!$C$2:$C$1000,A94)))</f>
        <v/>
      </c>
    </row>
    <row r="95" customFormat="false" ht="15" hidden="false" customHeight="false" outlineLevel="0" collapsed="false">
      <c r="A95" s="6"/>
      <c r="B95" s="6"/>
      <c r="C95" s="6"/>
      <c r="D95" s="6"/>
      <c r="E95" s="8" t="str">
        <f aca="false">IF(A95="","",SUMIFS(Продажи!$H$2:$H$1000,Продажи!$C$2:$C$1000,A95))</f>
        <v/>
      </c>
      <c r="F95" s="11" t="str">
        <f aca="false">IF(A95="","",IF(COUNTIF(Продажи!$C$2:$C$1000,A95)=0,"",_xlfn.MAXIFS(Продажи!$A$2:$A$1000,Продажи!$C$2:$C$1000,A95)))</f>
        <v/>
      </c>
    </row>
    <row r="96" customFormat="false" ht="15" hidden="false" customHeight="false" outlineLevel="0" collapsed="false">
      <c r="A96" s="6"/>
      <c r="B96" s="6"/>
      <c r="C96" s="6"/>
      <c r="D96" s="6"/>
      <c r="E96" s="8" t="str">
        <f aca="false">IF(A96="","",SUMIFS(Продажи!$H$2:$H$1000,Продажи!$C$2:$C$1000,A96))</f>
        <v/>
      </c>
      <c r="F96" s="11" t="str">
        <f aca="false">IF(A96="","",IF(COUNTIF(Продажи!$C$2:$C$1000,A96)=0,"",_xlfn.MAXIFS(Продажи!$A$2:$A$1000,Продажи!$C$2:$C$1000,A96)))</f>
        <v/>
      </c>
    </row>
    <row r="97" customFormat="false" ht="15" hidden="false" customHeight="false" outlineLevel="0" collapsed="false">
      <c r="A97" s="6"/>
      <c r="B97" s="6"/>
      <c r="C97" s="6"/>
      <c r="D97" s="6"/>
      <c r="E97" s="8" t="str">
        <f aca="false">IF(A97="","",SUMIFS(Продажи!$H$2:$H$1000,Продажи!$C$2:$C$1000,A97))</f>
        <v/>
      </c>
      <c r="F97" s="11" t="str">
        <f aca="false">IF(A97="","",IF(COUNTIF(Продажи!$C$2:$C$1000,A97)=0,"",_xlfn.MAXIFS(Продажи!$A$2:$A$1000,Продажи!$C$2:$C$1000,A97)))</f>
        <v/>
      </c>
    </row>
    <row r="98" customFormat="false" ht="15" hidden="false" customHeight="false" outlineLevel="0" collapsed="false">
      <c r="A98" s="6"/>
      <c r="B98" s="6"/>
      <c r="C98" s="6"/>
      <c r="D98" s="6"/>
      <c r="E98" s="8" t="str">
        <f aca="false">IF(A98="","",SUMIFS(Продажи!$H$2:$H$1000,Продажи!$C$2:$C$1000,A98))</f>
        <v/>
      </c>
      <c r="F98" s="11" t="str">
        <f aca="false">IF(A98="","",IF(COUNTIF(Продажи!$C$2:$C$1000,A98)=0,"",_xlfn.MAXIFS(Продажи!$A$2:$A$1000,Продажи!$C$2:$C$1000,A98)))</f>
        <v/>
      </c>
    </row>
    <row r="99" customFormat="false" ht="15" hidden="false" customHeight="false" outlineLevel="0" collapsed="false">
      <c r="A99" s="6"/>
      <c r="B99" s="6"/>
      <c r="C99" s="6"/>
      <c r="D99" s="6"/>
      <c r="E99" s="8" t="str">
        <f aca="false">IF(A99="","",SUMIFS(Продажи!$H$2:$H$1000,Продажи!$C$2:$C$1000,A99))</f>
        <v/>
      </c>
      <c r="F99" s="11" t="str">
        <f aca="false">IF(A99="","",IF(COUNTIF(Продажи!$C$2:$C$1000,A99)=0,"",_xlfn.MAXIFS(Продажи!$A$2:$A$1000,Продажи!$C$2:$C$1000,A99)))</f>
        <v/>
      </c>
    </row>
    <row r="100" customFormat="false" ht="15" hidden="false" customHeight="false" outlineLevel="0" collapsed="false">
      <c r="A100" s="6"/>
      <c r="B100" s="6"/>
      <c r="C100" s="6"/>
      <c r="D100" s="6"/>
      <c r="E100" s="8" t="str">
        <f aca="false">IF(A100="","",SUMIFS(Продажи!$H$2:$H$1000,Продажи!$C$2:$C$1000,A100))</f>
        <v/>
      </c>
      <c r="F100" s="11" t="str">
        <f aca="false">IF(A100="","",IF(COUNTIF(Продажи!$C$2:$C$1000,A100)=0,"",_xlfn.MAXIFS(Продажи!$A$2:$A$1000,Продажи!$C$2:$C$1000,A100)))</f>
        <v/>
      </c>
    </row>
    <row r="101" customFormat="false" ht="15" hidden="false" customHeight="false" outlineLevel="0" collapsed="false">
      <c r="A101" s="6"/>
      <c r="B101" s="6"/>
      <c r="C101" s="6"/>
      <c r="D101" s="6"/>
      <c r="E101" s="8" t="str">
        <f aca="false">IF(A101="","",SUMIFS(Продажи!$H$2:$H$1000,Продажи!$C$2:$C$1000,A101))</f>
        <v/>
      </c>
      <c r="F101" s="11" t="str">
        <f aca="false">IF(A101="","",IF(COUNTIF(Продажи!$C$2:$C$1000,A101)=0,"",_xlfn.MAXIFS(Продажи!$A$2:$A$1000,Продажи!$C$2:$C$1000,A101)))</f>
        <v/>
      </c>
    </row>
    <row r="102" customFormat="false" ht="15" hidden="false" customHeight="false" outlineLevel="0" collapsed="false">
      <c r="A102" s="6"/>
      <c r="B102" s="6"/>
      <c r="C102" s="6"/>
      <c r="D102" s="6"/>
      <c r="E102" s="8" t="str">
        <f aca="false">IF(A102="","",SUMIFS(Продажи!$H$2:$H$1000,Продажи!$C$2:$C$1000,A102))</f>
        <v/>
      </c>
      <c r="F102" s="11" t="str">
        <f aca="false">IF(A102="","",IF(COUNTIF(Продажи!$C$2:$C$1000,A102)=0,"",_xlfn.MAXIFS(Продажи!$A$2:$A$1000,Продажи!$C$2:$C$1000,A102)))</f>
        <v/>
      </c>
    </row>
    <row r="103" customFormat="false" ht="15" hidden="false" customHeight="false" outlineLevel="0" collapsed="false">
      <c r="A103" s="6"/>
      <c r="B103" s="6"/>
      <c r="C103" s="6"/>
      <c r="D103" s="6"/>
      <c r="E103" s="8" t="str">
        <f aca="false">IF(A103="","",SUMIFS(Продажи!$H$2:$H$1000,Продажи!$C$2:$C$1000,A103))</f>
        <v/>
      </c>
      <c r="F103" s="11" t="str">
        <f aca="false">IF(A103="","",IF(COUNTIF(Продажи!$C$2:$C$1000,A103)=0,"",_xlfn.MAXIFS(Продажи!$A$2:$A$1000,Продажи!$C$2:$C$1000,A103)))</f>
        <v/>
      </c>
    </row>
    <row r="104" customFormat="false" ht="15" hidden="false" customHeight="false" outlineLevel="0" collapsed="false">
      <c r="A104" s="6"/>
      <c r="B104" s="6"/>
      <c r="C104" s="6"/>
      <c r="D104" s="6"/>
      <c r="E104" s="8" t="str">
        <f aca="false">IF(A104="","",SUMIFS(Продажи!$H$2:$H$1000,Продажи!$C$2:$C$1000,A104))</f>
        <v/>
      </c>
      <c r="F104" s="11" t="str">
        <f aca="false">IF(A104="","",IF(COUNTIF(Продажи!$C$2:$C$1000,A104)=0,"",_xlfn.MAXIFS(Продажи!$A$2:$A$1000,Продажи!$C$2:$C$1000,A104)))</f>
        <v/>
      </c>
    </row>
    <row r="105" customFormat="false" ht="15" hidden="false" customHeight="false" outlineLevel="0" collapsed="false">
      <c r="A105" s="6"/>
      <c r="B105" s="6"/>
      <c r="C105" s="6"/>
      <c r="D105" s="6"/>
      <c r="E105" s="8" t="str">
        <f aca="false">IF(A105="","",SUMIFS(Продажи!$H$2:$H$1000,Продажи!$C$2:$C$1000,A105))</f>
        <v/>
      </c>
      <c r="F105" s="11" t="str">
        <f aca="false">IF(A105="","",IF(COUNTIF(Продажи!$C$2:$C$1000,A105)=0,"",_xlfn.MAXIFS(Продажи!$A$2:$A$1000,Продажи!$C$2:$C$1000,A105)))</f>
        <v/>
      </c>
    </row>
    <row r="106" customFormat="false" ht="15" hidden="false" customHeight="false" outlineLevel="0" collapsed="false">
      <c r="A106" s="6"/>
      <c r="B106" s="6"/>
      <c r="C106" s="6"/>
      <c r="D106" s="6"/>
      <c r="E106" s="8" t="str">
        <f aca="false">IF(A106="","",SUMIFS(Продажи!$H$2:$H$1000,Продажи!$C$2:$C$1000,A106))</f>
        <v/>
      </c>
      <c r="F106" s="11" t="str">
        <f aca="false">IF(A106="","",IF(COUNTIF(Продажи!$C$2:$C$1000,A106)=0,"",_xlfn.MAXIFS(Продажи!$A$2:$A$1000,Продажи!$C$2:$C$1000,A106)))</f>
        <v/>
      </c>
    </row>
    <row r="107" customFormat="false" ht="15" hidden="false" customHeight="false" outlineLevel="0" collapsed="false">
      <c r="A107" s="6"/>
      <c r="B107" s="6"/>
      <c r="C107" s="6"/>
      <c r="D107" s="6"/>
      <c r="E107" s="8" t="str">
        <f aca="false">IF(A107="","",SUMIFS(Продажи!$H$2:$H$1000,Продажи!$C$2:$C$1000,A107))</f>
        <v/>
      </c>
      <c r="F107" s="11" t="str">
        <f aca="false">IF(A107="","",IF(COUNTIF(Продажи!$C$2:$C$1000,A107)=0,"",_xlfn.MAXIFS(Продажи!$A$2:$A$1000,Продажи!$C$2:$C$1000,A107)))</f>
        <v/>
      </c>
    </row>
    <row r="108" customFormat="false" ht="15" hidden="false" customHeight="false" outlineLevel="0" collapsed="false">
      <c r="A108" s="6"/>
      <c r="B108" s="6"/>
      <c r="C108" s="6"/>
      <c r="D108" s="6"/>
      <c r="E108" s="8" t="str">
        <f aca="false">IF(A108="","",SUMIFS(Продажи!$H$2:$H$1000,Продажи!$C$2:$C$1000,A108))</f>
        <v/>
      </c>
      <c r="F108" s="11" t="str">
        <f aca="false">IF(A108="","",IF(COUNTIF(Продажи!$C$2:$C$1000,A108)=0,"",_xlfn.MAXIFS(Продажи!$A$2:$A$1000,Продажи!$C$2:$C$1000,A108)))</f>
        <v/>
      </c>
    </row>
    <row r="109" customFormat="false" ht="15" hidden="false" customHeight="false" outlineLevel="0" collapsed="false">
      <c r="A109" s="6"/>
      <c r="B109" s="6"/>
      <c r="C109" s="6"/>
      <c r="D109" s="6"/>
      <c r="E109" s="8" t="str">
        <f aca="false">IF(A109="","",SUMIFS(Продажи!$H$2:$H$1000,Продажи!$C$2:$C$1000,A109))</f>
        <v/>
      </c>
      <c r="F109" s="11" t="str">
        <f aca="false">IF(A109="","",IF(COUNTIF(Продажи!$C$2:$C$1000,A109)=0,"",_xlfn.MAXIFS(Продажи!$A$2:$A$1000,Продажи!$C$2:$C$1000,A109)))</f>
        <v/>
      </c>
    </row>
    <row r="110" customFormat="false" ht="15" hidden="false" customHeight="false" outlineLevel="0" collapsed="false">
      <c r="A110" s="6"/>
      <c r="B110" s="6"/>
      <c r="C110" s="6"/>
      <c r="D110" s="6"/>
      <c r="E110" s="8" t="str">
        <f aca="false">IF(A110="","",SUMIFS(Продажи!$H$2:$H$1000,Продажи!$C$2:$C$1000,A110))</f>
        <v/>
      </c>
      <c r="F110" s="11" t="str">
        <f aca="false">IF(A110="","",IF(COUNTIF(Продажи!$C$2:$C$1000,A110)=0,"",_xlfn.MAXIFS(Продажи!$A$2:$A$1000,Продажи!$C$2:$C$1000,A110)))</f>
        <v/>
      </c>
    </row>
    <row r="111" customFormat="false" ht="15" hidden="false" customHeight="false" outlineLevel="0" collapsed="false">
      <c r="A111" s="6"/>
      <c r="B111" s="6"/>
      <c r="C111" s="6"/>
      <c r="D111" s="6"/>
      <c r="E111" s="8" t="str">
        <f aca="false">IF(A111="","",SUMIFS(Продажи!$H$2:$H$1000,Продажи!$C$2:$C$1000,A111))</f>
        <v/>
      </c>
      <c r="F111" s="11" t="str">
        <f aca="false">IF(A111="","",IF(COUNTIF(Продажи!$C$2:$C$1000,A111)=0,"",_xlfn.MAXIFS(Продажи!$A$2:$A$1000,Продажи!$C$2:$C$1000,A111)))</f>
        <v/>
      </c>
    </row>
    <row r="112" customFormat="false" ht="15" hidden="false" customHeight="false" outlineLevel="0" collapsed="false">
      <c r="A112" s="6"/>
      <c r="B112" s="6"/>
      <c r="C112" s="6"/>
      <c r="D112" s="6"/>
      <c r="E112" s="8" t="str">
        <f aca="false">IF(A112="","",SUMIFS(Продажи!$H$2:$H$1000,Продажи!$C$2:$C$1000,A112))</f>
        <v/>
      </c>
      <c r="F112" s="11" t="str">
        <f aca="false">IF(A112="","",IF(COUNTIF(Продажи!$C$2:$C$1000,A112)=0,"",_xlfn.MAXIFS(Продажи!$A$2:$A$1000,Продажи!$C$2:$C$1000,A112)))</f>
        <v/>
      </c>
    </row>
    <row r="113" customFormat="false" ht="15" hidden="false" customHeight="false" outlineLevel="0" collapsed="false">
      <c r="A113" s="6"/>
      <c r="B113" s="6"/>
      <c r="C113" s="6"/>
      <c r="D113" s="6"/>
      <c r="E113" s="8" t="str">
        <f aca="false">IF(A113="","",SUMIFS(Продажи!$H$2:$H$1000,Продажи!$C$2:$C$1000,A113))</f>
        <v/>
      </c>
      <c r="F113" s="11" t="str">
        <f aca="false">IF(A113="","",IF(COUNTIF(Продажи!$C$2:$C$1000,A113)=0,"",_xlfn.MAXIFS(Продажи!$A$2:$A$1000,Продажи!$C$2:$C$1000,A113)))</f>
        <v/>
      </c>
    </row>
    <row r="114" customFormat="false" ht="15" hidden="false" customHeight="false" outlineLevel="0" collapsed="false">
      <c r="A114" s="6"/>
      <c r="B114" s="6"/>
      <c r="C114" s="6"/>
      <c r="D114" s="6"/>
      <c r="E114" s="8" t="str">
        <f aca="false">IF(A114="","",SUMIFS(Продажи!$H$2:$H$1000,Продажи!$C$2:$C$1000,A114))</f>
        <v/>
      </c>
      <c r="F114" s="11" t="str">
        <f aca="false">IF(A114="","",IF(COUNTIF(Продажи!$C$2:$C$1000,A114)=0,"",_xlfn.MAXIFS(Продажи!$A$2:$A$1000,Продажи!$C$2:$C$1000,A114)))</f>
        <v/>
      </c>
    </row>
    <row r="115" customFormat="false" ht="15" hidden="false" customHeight="false" outlineLevel="0" collapsed="false">
      <c r="A115" s="6"/>
      <c r="B115" s="6"/>
      <c r="C115" s="6"/>
      <c r="D115" s="6"/>
      <c r="E115" s="8" t="str">
        <f aca="false">IF(A115="","",SUMIFS(Продажи!$H$2:$H$1000,Продажи!$C$2:$C$1000,A115))</f>
        <v/>
      </c>
      <c r="F115" s="11" t="str">
        <f aca="false">IF(A115="","",IF(COUNTIF(Продажи!$C$2:$C$1000,A115)=0,"",_xlfn.MAXIFS(Продажи!$A$2:$A$1000,Продажи!$C$2:$C$1000,A115)))</f>
        <v/>
      </c>
    </row>
    <row r="116" customFormat="false" ht="15" hidden="false" customHeight="false" outlineLevel="0" collapsed="false">
      <c r="A116" s="6"/>
      <c r="B116" s="6"/>
      <c r="C116" s="6"/>
      <c r="D116" s="6"/>
      <c r="E116" s="8" t="str">
        <f aca="false">IF(A116="","",SUMIFS(Продажи!$H$2:$H$1000,Продажи!$C$2:$C$1000,A116))</f>
        <v/>
      </c>
      <c r="F116" s="11" t="str">
        <f aca="false">IF(A116="","",IF(COUNTIF(Продажи!$C$2:$C$1000,A116)=0,"",_xlfn.MAXIFS(Продажи!$A$2:$A$1000,Продажи!$C$2:$C$1000,A116)))</f>
        <v/>
      </c>
    </row>
    <row r="117" customFormat="false" ht="15" hidden="false" customHeight="false" outlineLevel="0" collapsed="false">
      <c r="A117" s="6"/>
      <c r="B117" s="6"/>
      <c r="C117" s="6"/>
      <c r="D117" s="6"/>
      <c r="E117" s="8" t="str">
        <f aca="false">IF(A117="","",SUMIFS(Продажи!$H$2:$H$1000,Продажи!$C$2:$C$1000,A117))</f>
        <v/>
      </c>
      <c r="F117" s="11" t="str">
        <f aca="false">IF(A117="","",IF(COUNTIF(Продажи!$C$2:$C$1000,A117)=0,"",_xlfn.MAXIFS(Продажи!$A$2:$A$1000,Продажи!$C$2:$C$1000,A117)))</f>
        <v/>
      </c>
    </row>
    <row r="118" customFormat="false" ht="15" hidden="false" customHeight="false" outlineLevel="0" collapsed="false">
      <c r="A118" s="6"/>
      <c r="B118" s="6"/>
      <c r="C118" s="6"/>
      <c r="D118" s="6"/>
      <c r="E118" s="8" t="str">
        <f aca="false">IF(A118="","",SUMIFS(Продажи!$H$2:$H$1000,Продажи!$C$2:$C$1000,A118))</f>
        <v/>
      </c>
      <c r="F118" s="11" t="str">
        <f aca="false">IF(A118="","",IF(COUNTIF(Продажи!$C$2:$C$1000,A118)=0,"",_xlfn.MAXIFS(Продажи!$A$2:$A$1000,Продажи!$C$2:$C$1000,A118)))</f>
        <v/>
      </c>
    </row>
    <row r="119" customFormat="false" ht="15" hidden="false" customHeight="false" outlineLevel="0" collapsed="false">
      <c r="A119" s="6"/>
      <c r="B119" s="6"/>
      <c r="C119" s="6"/>
      <c r="D119" s="6"/>
      <c r="E119" s="8" t="str">
        <f aca="false">IF(A119="","",SUMIFS(Продажи!$H$2:$H$1000,Продажи!$C$2:$C$1000,A119))</f>
        <v/>
      </c>
      <c r="F119" s="11" t="str">
        <f aca="false">IF(A119="","",IF(COUNTIF(Продажи!$C$2:$C$1000,A119)=0,"",_xlfn.MAXIFS(Продажи!$A$2:$A$1000,Продажи!$C$2:$C$1000,A119)))</f>
        <v/>
      </c>
    </row>
    <row r="120" customFormat="false" ht="15" hidden="false" customHeight="false" outlineLevel="0" collapsed="false">
      <c r="A120" s="6"/>
      <c r="B120" s="6"/>
      <c r="C120" s="6"/>
      <c r="D120" s="6"/>
      <c r="E120" s="8" t="str">
        <f aca="false">IF(A120="","",SUMIFS(Продажи!$H$2:$H$1000,Продажи!$C$2:$C$1000,A120))</f>
        <v/>
      </c>
      <c r="F120" s="11" t="str">
        <f aca="false">IF(A120="","",IF(COUNTIF(Продажи!$C$2:$C$1000,A120)=0,"",_xlfn.MAXIFS(Продажи!$A$2:$A$1000,Продажи!$C$2:$C$1000,A120)))</f>
        <v/>
      </c>
    </row>
    <row r="121" customFormat="false" ht="15" hidden="false" customHeight="false" outlineLevel="0" collapsed="false">
      <c r="A121" s="6"/>
      <c r="B121" s="6"/>
      <c r="C121" s="6"/>
      <c r="D121" s="6"/>
      <c r="E121" s="8" t="str">
        <f aca="false">IF(A121="","",SUMIFS(Продажи!$H$2:$H$1000,Продажи!$C$2:$C$1000,A121))</f>
        <v/>
      </c>
      <c r="F121" s="11" t="str">
        <f aca="false">IF(A121="","",IF(COUNTIF(Продажи!$C$2:$C$1000,A121)=0,"",_xlfn.MAXIFS(Продажи!$A$2:$A$1000,Продажи!$C$2:$C$1000,A121)))</f>
        <v/>
      </c>
    </row>
    <row r="122" customFormat="false" ht="15" hidden="false" customHeight="false" outlineLevel="0" collapsed="false">
      <c r="A122" s="6"/>
      <c r="B122" s="6"/>
      <c r="C122" s="6"/>
      <c r="D122" s="6"/>
      <c r="E122" s="8" t="str">
        <f aca="false">IF(A122="","",SUMIFS(Продажи!$H$2:$H$1000,Продажи!$C$2:$C$1000,A122))</f>
        <v/>
      </c>
      <c r="F122" s="11" t="str">
        <f aca="false">IF(A122="","",IF(COUNTIF(Продажи!$C$2:$C$1000,A122)=0,"",_xlfn.MAXIFS(Продажи!$A$2:$A$1000,Продажи!$C$2:$C$1000,A122)))</f>
        <v/>
      </c>
    </row>
    <row r="123" customFormat="false" ht="15" hidden="false" customHeight="false" outlineLevel="0" collapsed="false">
      <c r="A123" s="6"/>
      <c r="B123" s="6"/>
      <c r="C123" s="6"/>
      <c r="D123" s="6"/>
      <c r="E123" s="8" t="str">
        <f aca="false">IF(A123="","",SUMIFS(Продажи!$H$2:$H$1000,Продажи!$C$2:$C$1000,A123))</f>
        <v/>
      </c>
      <c r="F123" s="11" t="str">
        <f aca="false">IF(A123="","",IF(COUNTIF(Продажи!$C$2:$C$1000,A123)=0,"",_xlfn.MAXIFS(Продажи!$A$2:$A$1000,Продажи!$C$2:$C$1000,A123)))</f>
        <v/>
      </c>
    </row>
    <row r="124" customFormat="false" ht="15" hidden="false" customHeight="false" outlineLevel="0" collapsed="false">
      <c r="A124" s="6"/>
      <c r="B124" s="6"/>
      <c r="C124" s="6"/>
      <c r="D124" s="6"/>
      <c r="E124" s="8" t="str">
        <f aca="false">IF(A124="","",SUMIFS(Продажи!$H$2:$H$1000,Продажи!$C$2:$C$1000,A124))</f>
        <v/>
      </c>
      <c r="F124" s="11" t="str">
        <f aca="false">IF(A124="","",IF(COUNTIF(Продажи!$C$2:$C$1000,A124)=0,"",_xlfn.MAXIFS(Продажи!$A$2:$A$1000,Продажи!$C$2:$C$1000,A124)))</f>
        <v/>
      </c>
    </row>
    <row r="125" customFormat="false" ht="15" hidden="false" customHeight="false" outlineLevel="0" collapsed="false">
      <c r="A125" s="6"/>
      <c r="B125" s="6"/>
      <c r="C125" s="6"/>
      <c r="D125" s="6"/>
      <c r="E125" s="8" t="str">
        <f aca="false">IF(A125="","",SUMIFS(Продажи!$H$2:$H$1000,Продажи!$C$2:$C$1000,A125))</f>
        <v/>
      </c>
      <c r="F125" s="11" t="str">
        <f aca="false">IF(A125="","",IF(COUNTIF(Продажи!$C$2:$C$1000,A125)=0,"",_xlfn.MAXIFS(Продажи!$A$2:$A$1000,Продажи!$C$2:$C$1000,A125)))</f>
        <v/>
      </c>
    </row>
    <row r="126" customFormat="false" ht="15" hidden="false" customHeight="false" outlineLevel="0" collapsed="false">
      <c r="A126" s="6"/>
      <c r="B126" s="6"/>
      <c r="C126" s="6"/>
      <c r="D126" s="6"/>
      <c r="E126" s="8" t="str">
        <f aca="false">IF(A126="","",SUMIFS(Продажи!$H$2:$H$1000,Продажи!$C$2:$C$1000,A126))</f>
        <v/>
      </c>
      <c r="F126" s="11" t="str">
        <f aca="false">IF(A126="","",IF(COUNTIF(Продажи!$C$2:$C$1000,A126)=0,"",_xlfn.MAXIFS(Продажи!$A$2:$A$1000,Продажи!$C$2:$C$1000,A126)))</f>
        <v/>
      </c>
    </row>
    <row r="127" customFormat="false" ht="15" hidden="false" customHeight="false" outlineLevel="0" collapsed="false">
      <c r="A127" s="6"/>
      <c r="B127" s="6"/>
      <c r="C127" s="6"/>
      <c r="D127" s="6"/>
      <c r="E127" s="8" t="str">
        <f aca="false">IF(A127="","",SUMIFS(Продажи!$H$2:$H$1000,Продажи!$C$2:$C$1000,A127))</f>
        <v/>
      </c>
      <c r="F127" s="11" t="str">
        <f aca="false">IF(A127="","",IF(COUNTIF(Продажи!$C$2:$C$1000,A127)=0,"",_xlfn.MAXIFS(Продажи!$A$2:$A$1000,Продажи!$C$2:$C$1000,A127)))</f>
        <v/>
      </c>
    </row>
    <row r="128" customFormat="false" ht="15" hidden="false" customHeight="false" outlineLevel="0" collapsed="false">
      <c r="A128" s="6"/>
      <c r="B128" s="6"/>
      <c r="C128" s="6"/>
      <c r="D128" s="6"/>
      <c r="E128" s="8" t="str">
        <f aca="false">IF(A128="","",SUMIFS(Продажи!$H$2:$H$1000,Продажи!$C$2:$C$1000,A128))</f>
        <v/>
      </c>
      <c r="F128" s="11" t="str">
        <f aca="false">IF(A128="","",IF(COUNTIF(Продажи!$C$2:$C$1000,A128)=0,"",_xlfn.MAXIFS(Продажи!$A$2:$A$1000,Продажи!$C$2:$C$1000,A128)))</f>
        <v/>
      </c>
    </row>
    <row r="129" customFormat="false" ht="15" hidden="false" customHeight="false" outlineLevel="0" collapsed="false">
      <c r="A129" s="6"/>
      <c r="B129" s="6"/>
      <c r="C129" s="6"/>
      <c r="D129" s="6"/>
      <c r="E129" s="8" t="str">
        <f aca="false">IF(A129="","",SUMIFS(Продажи!$H$2:$H$1000,Продажи!$C$2:$C$1000,A129))</f>
        <v/>
      </c>
      <c r="F129" s="11" t="str">
        <f aca="false">IF(A129="","",IF(COUNTIF(Продажи!$C$2:$C$1000,A129)=0,"",_xlfn.MAXIFS(Продажи!$A$2:$A$1000,Продажи!$C$2:$C$1000,A129)))</f>
        <v/>
      </c>
    </row>
    <row r="130" customFormat="false" ht="15" hidden="false" customHeight="false" outlineLevel="0" collapsed="false">
      <c r="A130" s="6"/>
      <c r="B130" s="6"/>
      <c r="C130" s="6"/>
      <c r="D130" s="6"/>
      <c r="E130" s="8" t="str">
        <f aca="false">IF(A130="","",SUMIFS(Продажи!$H$2:$H$1000,Продажи!$C$2:$C$1000,A130))</f>
        <v/>
      </c>
      <c r="F130" s="11" t="str">
        <f aca="false">IF(A130="","",IF(COUNTIF(Продажи!$C$2:$C$1000,A130)=0,"",_xlfn.MAXIFS(Продажи!$A$2:$A$1000,Продажи!$C$2:$C$1000,A130)))</f>
        <v/>
      </c>
    </row>
    <row r="131" customFormat="false" ht="15" hidden="false" customHeight="false" outlineLevel="0" collapsed="false">
      <c r="A131" s="6"/>
      <c r="B131" s="6"/>
      <c r="C131" s="6"/>
      <c r="D131" s="6"/>
      <c r="E131" s="8" t="str">
        <f aca="false">IF(A131="","",SUMIFS(Продажи!$H$2:$H$1000,Продажи!$C$2:$C$1000,A131))</f>
        <v/>
      </c>
      <c r="F131" s="11" t="str">
        <f aca="false">IF(A131="","",IF(COUNTIF(Продажи!$C$2:$C$1000,A131)=0,"",_xlfn.MAXIFS(Продажи!$A$2:$A$1000,Продажи!$C$2:$C$1000,A131)))</f>
        <v/>
      </c>
    </row>
    <row r="132" customFormat="false" ht="15" hidden="false" customHeight="false" outlineLevel="0" collapsed="false">
      <c r="A132" s="6"/>
      <c r="B132" s="6"/>
      <c r="C132" s="6"/>
      <c r="D132" s="6"/>
      <c r="E132" s="8" t="str">
        <f aca="false">IF(A132="","",SUMIFS(Продажи!$H$2:$H$1000,Продажи!$C$2:$C$1000,A132))</f>
        <v/>
      </c>
      <c r="F132" s="11" t="str">
        <f aca="false">IF(A132="","",IF(COUNTIF(Продажи!$C$2:$C$1000,A132)=0,"",_xlfn.MAXIFS(Продажи!$A$2:$A$1000,Продажи!$C$2:$C$1000,A132)))</f>
        <v/>
      </c>
    </row>
    <row r="133" customFormat="false" ht="15" hidden="false" customHeight="false" outlineLevel="0" collapsed="false">
      <c r="A133" s="6"/>
      <c r="B133" s="6"/>
      <c r="C133" s="6"/>
      <c r="D133" s="6"/>
      <c r="E133" s="8" t="str">
        <f aca="false">IF(A133="","",SUMIFS(Продажи!$H$2:$H$1000,Продажи!$C$2:$C$1000,A133))</f>
        <v/>
      </c>
      <c r="F133" s="11" t="str">
        <f aca="false">IF(A133="","",IF(COUNTIF(Продажи!$C$2:$C$1000,A133)=0,"",_xlfn.MAXIFS(Продажи!$A$2:$A$1000,Продажи!$C$2:$C$1000,A133)))</f>
        <v/>
      </c>
    </row>
    <row r="134" customFormat="false" ht="15" hidden="false" customHeight="false" outlineLevel="0" collapsed="false">
      <c r="A134" s="6"/>
      <c r="B134" s="6"/>
      <c r="C134" s="6"/>
      <c r="D134" s="6"/>
      <c r="E134" s="8" t="str">
        <f aca="false">IF(A134="","",SUMIFS(Продажи!$H$2:$H$1000,Продажи!$C$2:$C$1000,A134))</f>
        <v/>
      </c>
      <c r="F134" s="11" t="str">
        <f aca="false">IF(A134="","",IF(COUNTIF(Продажи!$C$2:$C$1000,A134)=0,"",_xlfn.MAXIFS(Продажи!$A$2:$A$1000,Продажи!$C$2:$C$1000,A134)))</f>
        <v/>
      </c>
    </row>
    <row r="135" customFormat="false" ht="15" hidden="false" customHeight="false" outlineLevel="0" collapsed="false">
      <c r="A135" s="6"/>
      <c r="B135" s="6"/>
      <c r="C135" s="6"/>
      <c r="D135" s="6"/>
      <c r="E135" s="8" t="str">
        <f aca="false">IF(A135="","",SUMIFS(Продажи!$H$2:$H$1000,Продажи!$C$2:$C$1000,A135))</f>
        <v/>
      </c>
      <c r="F135" s="11" t="str">
        <f aca="false">IF(A135="","",IF(COUNTIF(Продажи!$C$2:$C$1000,A135)=0,"",_xlfn.MAXIFS(Продажи!$A$2:$A$1000,Продажи!$C$2:$C$1000,A135)))</f>
        <v/>
      </c>
    </row>
    <row r="136" customFormat="false" ht="15" hidden="false" customHeight="false" outlineLevel="0" collapsed="false">
      <c r="A136" s="6"/>
      <c r="B136" s="6"/>
      <c r="C136" s="6"/>
      <c r="D136" s="6"/>
      <c r="E136" s="8" t="str">
        <f aca="false">IF(A136="","",SUMIFS(Продажи!$H$2:$H$1000,Продажи!$C$2:$C$1000,A136))</f>
        <v/>
      </c>
      <c r="F136" s="11" t="str">
        <f aca="false">IF(A136="","",IF(COUNTIF(Продажи!$C$2:$C$1000,A136)=0,"",_xlfn.MAXIFS(Продажи!$A$2:$A$1000,Продажи!$C$2:$C$1000,A136)))</f>
        <v/>
      </c>
    </row>
    <row r="137" customFormat="false" ht="15" hidden="false" customHeight="false" outlineLevel="0" collapsed="false">
      <c r="A137" s="6"/>
      <c r="B137" s="6"/>
      <c r="C137" s="6"/>
      <c r="D137" s="6"/>
      <c r="E137" s="8" t="str">
        <f aca="false">IF(A137="","",SUMIFS(Продажи!$H$2:$H$1000,Продажи!$C$2:$C$1000,A137))</f>
        <v/>
      </c>
      <c r="F137" s="11" t="str">
        <f aca="false">IF(A137="","",IF(COUNTIF(Продажи!$C$2:$C$1000,A137)=0,"",_xlfn.MAXIFS(Продажи!$A$2:$A$1000,Продажи!$C$2:$C$1000,A137)))</f>
        <v/>
      </c>
    </row>
    <row r="138" customFormat="false" ht="15" hidden="false" customHeight="false" outlineLevel="0" collapsed="false">
      <c r="A138" s="6"/>
      <c r="B138" s="6"/>
      <c r="C138" s="6"/>
      <c r="D138" s="6"/>
      <c r="E138" s="8" t="str">
        <f aca="false">IF(A138="","",SUMIFS(Продажи!$H$2:$H$1000,Продажи!$C$2:$C$1000,A138))</f>
        <v/>
      </c>
      <c r="F138" s="11" t="str">
        <f aca="false">IF(A138="","",IF(COUNTIF(Продажи!$C$2:$C$1000,A138)=0,"",_xlfn.MAXIFS(Продажи!$A$2:$A$1000,Продажи!$C$2:$C$1000,A138)))</f>
        <v/>
      </c>
    </row>
    <row r="139" customFormat="false" ht="15" hidden="false" customHeight="false" outlineLevel="0" collapsed="false">
      <c r="A139" s="6"/>
      <c r="B139" s="6"/>
      <c r="C139" s="6"/>
      <c r="D139" s="6"/>
      <c r="E139" s="8" t="str">
        <f aca="false">IF(A139="","",SUMIFS(Продажи!$H$2:$H$1000,Продажи!$C$2:$C$1000,A139))</f>
        <v/>
      </c>
      <c r="F139" s="11" t="str">
        <f aca="false">IF(A139="","",IF(COUNTIF(Продажи!$C$2:$C$1000,A139)=0,"",_xlfn.MAXIFS(Продажи!$A$2:$A$1000,Продажи!$C$2:$C$1000,A139)))</f>
        <v/>
      </c>
    </row>
    <row r="140" customFormat="false" ht="15" hidden="false" customHeight="false" outlineLevel="0" collapsed="false">
      <c r="A140" s="6"/>
      <c r="B140" s="6"/>
      <c r="C140" s="6"/>
      <c r="D140" s="6"/>
      <c r="E140" s="8" t="str">
        <f aca="false">IF(A140="","",SUMIFS(Продажи!$H$2:$H$1000,Продажи!$C$2:$C$1000,A140))</f>
        <v/>
      </c>
      <c r="F140" s="11" t="str">
        <f aca="false">IF(A140="","",IF(COUNTIF(Продажи!$C$2:$C$1000,A140)=0,"",_xlfn.MAXIFS(Продажи!$A$2:$A$1000,Продажи!$C$2:$C$1000,A140)))</f>
        <v/>
      </c>
    </row>
    <row r="141" customFormat="false" ht="15" hidden="false" customHeight="false" outlineLevel="0" collapsed="false">
      <c r="A141" s="6"/>
      <c r="B141" s="6"/>
      <c r="C141" s="6"/>
      <c r="D141" s="6"/>
      <c r="E141" s="8" t="str">
        <f aca="false">IF(A141="","",SUMIFS(Продажи!$H$2:$H$1000,Продажи!$C$2:$C$1000,A141))</f>
        <v/>
      </c>
      <c r="F141" s="11" t="str">
        <f aca="false">IF(A141="","",IF(COUNTIF(Продажи!$C$2:$C$1000,A141)=0,"",_xlfn.MAXIFS(Продажи!$A$2:$A$1000,Продажи!$C$2:$C$1000,A141)))</f>
        <v/>
      </c>
    </row>
    <row r="142" customFormat="false" ht="15" hidden="false" customHeight="false" outlineLevel="0" collapsed="false">
      <c r="A142" s="6"/>
      <c r="B142" s="6"/>
      <c r="C142" s="6"/>
      <c r="D142" s="6"/>
      <c r="E142" s="8" t="str">
        <f aca="false">IF(A142="","",SUMIFS(Продажи!$H$2:$H$1000,Продажи!$C$2:$C$1000,A142))</f>
        <v/>
      </c>
      <c r="F142" s="11" t="str">
        <f aca="false">IF(A142="","",IF(COUNTIF(Продажи!$C$2:$C$1000,A142)=0,"",_xlfn.MAXIFS(Продажи!$A$2:$A$1000,Продажи!$C$2:$C$1000,A142)))</f>
        <v/>
      </c>
    </row>
    <row r="143" customFormat="false" ht="15" hidden="false" customHeight="false" outlineLevel="0" collapsed="false">
      <c r="A143" s="6"/>
      <c r="B143" s="6"/>
      <c r="C143" s="6"/>
      <c r="D143" s="6"/>
      <c r="E143" s="8" t="str">
        <f aca="false">IF(A143="","",SUMIFS(Продажи!$H$2:$H$1000,Продажи!$C$2:$C$1000,A143))</f>
        <v/>
      </c>
      <c r="F143" s="11" t="str">
        <f aca="false">IF(A143="","",IF(COUNTIF(Продажи!$C$2:$C$1000,A143)=0,"",_xlfn.MAXIFS(Продажи!$A$2:$A$1000,Продажи!$C$2:$C$1000,A143)))</f>
        <v/>
      </c>
    </row>
    <row r="144" customFormat="false" ht="15" hidden="false" customHeight="false" outlineLevel="0" collapsed="false">
      <c r="A144" s="6"/>
      <c r="B144" s="6"/>
      <c r="C144" s="6"/>
      <c r="D144" s="6"/>
      <c r="E144" s="8" t="str">
        <f aca="false">IF(A144="","",SUMIFS(Продажи!$H$2:$H$1000,Продажи!$C$2:$C$1000,A144))</f>
        <v/>
      </c>
      <c r="F144" s="11" t="str">
        <f aca="false">IF(A144="","",IF(COUNTIF(Продажи!$C$2:$C$1000,A144)=0,"",_xlfn.MAXIFS(Продажи!$A$2:$A$1000,Продажи!$C$2:$C$1000,A144)))</f>
        <v/>
      </c>
    </row>
    <row r="145" customFormat="false" ht="15" hidden="false" customHeight="false" outlineLevel="0" collapsed="false">
      <c r="A145" s="6"/>
      <c r="B145" s="6"/>
      <c r="C145" s="6"/>
      <c r="D145" s="6"/>
      <c r="E145" s="8" t="str">
        <f aca="false">IF(A145="","",SUMIFS(Продажи!$H$2:$H$1000,Продажи!$C$2:$C$1000,A145))</f>
        <v/>
      </c>
      <c r="F145" s="11" t="str">
        <f aca="false">IF(A145="","",IF(COUNTIF(Продажи!$C$2:$C$1000,A145)=0,"",_xlfn.MAXIFS(Продажи!$A$2:$A$1000,Продажи!$C$2:$C$1000,A145)))</f>
        <v/>
      </c>
    </row>
    <row r="146" customFormat="false" ht="15" hidden="false" customHeight="false" outlineLevel="0" collapsed="false">
      <c r="A146" s="6"/>
      <c r="B146" s="6"/>
      <c r="C146" s="6"/>
      <c r="D146" s="6"/>
      <c r="E146" s="8" t="str">
        <f aca="false">IF(A146="","",SUMIFS(Продажи!$H$2:$H$1000,Продажи!$C$2:$C$1000,A146))</f>
        <v/>
      </c>
      <c r="F146" s="11" t="str">
        <f aca="false">IF(A146="","",IF(COUNTIF(Продажи!$C$2:$C$1000,A146)=0,"",_xlfn.MAXIFS(Продажи!$A$2:$A$1000,Продажи!$C$2:$C$1000,A146)))</f>
        <v/>
      </c>
    </row>
    <row r="147" customFormat="false" ht="15" hidden="false" customHeight="false" outlineLevel="0" collapsed="false">
      <c r="A147" s="6"/>
      <c r="B147" s="6"/>
      <c r="C147" s="6"/>
      <c r="D147" s="6"/>
      <c r="E147" s="8" t="str">
        <f aca="false">IF(A147="","",SUMIFS(Продажи!$H$2:$H$1000,Продажи!$C$2:$C$1000,A147))</f>
        <v/>
      </c>
      <c r="F147" s="11" t="str">
        <f aca="false">IF(A147="","",IF(COUNTIF(Продажи!$C$2:$C$1000,A147)=0,"",_xlfn.MAXIFS(Продажи!$A$2:$A$1000,Продажи!$C$2:$C$1000,A147)))</f>
        <v/>
      </c>
    </row>
    <row r="148" customFormat="false" ht="15" hidden="false" customHeight="false" outlineLevel="0" collapsed="false">
      <c r="A148" s="6"/>
      <c r="B148" s="6"/>
      <c r="C148" s="6"/>
      <c r="D148" s="6"/>
      <c r="E148" s="8" t="str">
        <f aca="false">IF(A148="","",SUMIFS(Продажи!$H$2:$H$1000,Продажи!$C$2:$C$1000,A148))</f>
        <v/>
      </c>
      <c r="F148" s="11" t="str">
        <f aca="false">IF(A148="","",IF(COUNTIF(Продажи!$C$2:$C$1000,A148)=0,"",_xlfn.MAXIFS(Продажи!$A$2:$A$1000,Продажи!$C$2:$C$1000,A148)))</f>
        <v/>
      </c>
    </row>
    <row r="149" customFormat="false" ht="15" hidden="false" customHeight="false" outlineLevel="0" collapsed="false">
      <c r="A149" s="6"/>
      <c r="B149" s="6"/>
      <c r="C149" s="6"/>
      <c r="D149" s="6"/>
      <c r="E149" s="8" t="str">
        <f aca="false">IF(A149="","",SUMIFS(Продажи!$H$2:$H$1000,Продажи!$C$2:$C$1000,A149))</f>
        <v/>
      </c>
      <c r="F149" s="11" t="str">
        <f aca="false">IF(A149="","",IF(COUNTIF(Продажи!$C$2:$C$1000,A149)=0,"",_xlfn.MAXIFS(Продажи!$A$2:$A$1000,Продажи!$C$2:$C$1000,A149)))</f>
        <v/>
      </c>
    </row>
    <row r="150" customFormat="false" ht="15" hidden="false" customHeight="false" outlineLevel="0" collapsed="false">
      <c r="A150" s="6"/>
      <c r="B150" s="6"/>
      <c r="C150" s="6"/>
      <c r="D150" s="6"/>
      <c r="E150" s="8" t="str">
        <f aca="false">IF(A150="","",SUMIFS(Продажи!$H$2:$H$1000,Продажи!$C$2:$C$1000,A150))</f>
        <v/>
      </c>
      <c r="F150" s="11" t="str">
        <f aca="false">IF(A150="","",IF(COUNTIF(Продажи!$C$2:$C$1000,A150)=0,"",_xlfn.MAXIFS(Продажи!$A$2:$A$1000,Продажи!$C$2:$C$1000,A150)))</f>
        <v/>
      </c>
    </row>
    <row r="151" customFormat="false" ht="15" hidden="false" customHeight="false" outlineLevel="0" collapsed="false">
      <c r="A151" s="6"/>
      <c r="B151" s="6"/>
      <c r="C151" s="6"/>
      <c r="D151" s="6"/>
      <c r="E151" s="8" t="str">
        <f aca="false">IF(A151="","",SUMIFS(Продажи!$H$2:$H$1000,Продажи!$C$2:$C$1000,A151))</f>
        <v/>
      </c>
      <c r="F151" s="11" t="str">
        <f aca="false">IF(A151="","",IF(COUNTIF(Продажи!$C$2:$C$1000,A151)=0,"",_xlfn.MAXIFS(Продажи!$A$2:$A$1000,Продажи!$C$2:$C$1000,A151)))</f>
        <v/>
      </c>
    </row>
    <row r="152" customFormat="false" ht="15" hidden="false" customHeight="false" outlineLevel="0" collapsed="false">
      <c r="A152" s="6"/>
      <c r="B152" s="6"/>
      <c r="C152" s="6"/>
      <c r="D152" s="6"/>
      <c r="E152" s="8" t="str">
        <f aca="false">IF(A152="","",SUMIFS(Продажи!$H$2:$H$1000,Продажи!$C$2:$C$1000,A152))</f>
        <v/>
      </c>
      <c r="F152" s="11" t="str">
        <f aca="false">IF(A152="","",IF(COUNTIF(Продажи!$C$2:$C$1000,A152)=0,"",_xlfn.MAXIFS(Продажи!$A$2:$A$1000,Продажи!$C$2:$C$1000,A152)))</f>
        <v/>
      </c>
    </row>
    <row r="153" customFormat="false" ht="15" hidden="false" customHeight="false" outlineLevel="0" collapsed="false">
      <c r="A153" s="6"/>
      <c r="B153" s="6"/>
      <c r="C153" s="6"/>
      <c r="D153" s="6"/>
      <c r="E153" s="8" t="str">
        <f aca="false">IF(A153="","",SUMIFS(Продажи!$H$2:$H$1000,Продажи!$C$2:$C$1000,A153))</f>
        <v/>
      </c>
      <c r="F153" s="11" t="str">
        <f aca="false">IF(A153="","",IF(COUNTIF(Продажи!$C$2:$C$1000,A153)=0,"",_xlfn.MAXIFS(Продажи!$A$2:$A$1000,Продажи!$C$2:$C$1000,A153)))</f>
        <v/>
      </c>
    </row>
    <row r="154" customFormat="false" ht="15" hidden="false" customHeight="false" outlineLevel="0" collapsed="false">
      <c r="A154" s="6"/>
      <c r="B154" s="6"/>
      <c r="C154" s="6"/>
      <c r="D154" s="6"/>
      <c r="E154" s="8" t="str">
        <f aca="false">IF(A154="","",SUMIFS(Продажи!$H$2:$H$1000,Продажи!$C$2:$C$1000,A154))</f>
        <v/>
      </c>
      <c r="F154" s="11" t="str">
        <f aca="false">IF(A154="","",IF(COUNTIF(Продажи!$C$2:$C$1000,A154)=0,"",_xlfn.MAXIFS(Продажи!$A$2:$A$1000,Продажи!$C$2:$C$1000,A154)))</f>
        <v/>
      </c>
    </row>
    <row r="155" customFormat="false" ht="15" hidden="false" customHeight="false" outlineLevel="0" collapsed="false">
      <c r="A155" s="6"/>
      <c r="B155" s="6"/>
      <c r="C155" s="6"/>
      <c r="D155" s="6"/>
      <c r="E155" s="8" t="str">
        <f aca="false">IF(A155="","",SUMIFS(Продажи!$H$2:$H$1000,Продажи!$C$2:$C$1000,A155))</f>
        <v/>
      </c>
      <c r="F155" s="11" t="str">
        <f aca="false">IF(A155="","",IF(COUNTIF(Продажи!$C$2:$C$1000,A155)=0,"",_xlfn.MAXIFS(Продажи!$A$2:$A$1000,Продажи!$C$2:$C$1000,A155)))</f>
        <v/>
      </c>
    </row>
    <row r="156" customFormat="false" ht="15" hidden="false" customHeight="false" outlineLevel="0" collapsed="false">
      <c r="A156" s="6"/>
      <c r="B156" s="6"/>
      <c r="C156" s="6"/>
      <c r="D156" s="6"/>
      <c r="E156" s="8" t="str">
        <f aca="false">IF(A156="","",SUMIFS(Продажи!$H$2:$H$1000,Продажи!$C$2:$C$1000,A156))</f>
        <v/>
      </c>
      <c r="F156" s="11" t="str">
        <f aca="false">IF(A156="","",IF(COUNTIF(Продажи!$C$2:$C$1000,A156)=0,"",_xlfn.MAXIFS(Продажи!$A$2:$A$1000,Продажи!$C$2:$C$1000,A156)))</f>
        <v/>
      </c>
    </row>
    <row r="157" customFormat="false" ht="15" hidden="false" customHeight="false" outlineLevel="0" collapsed="false">
      <c r="A157" s="6"/>
      <c r="B157" s="6"/>
      <c r="C157" s="6"/>
      <c r="D157" s="6"/>
      <c r="E157" s="8" t="str">
        <f aca="false">IF(A157="","",SUMIFS(Продажи!$H$2:$H$1000,Продажи!$C$2:$C$1000,A157))</f>
        <v/>
      </c>
      <c r="F157" s="11" t="str">
        <f aca="false">IF(A157="","",IF(COUNTIF(Продажи!$C$2:$C$1000,A157)=0,"",_xlfn.MAXIFS(Продажи!$A$2:$A$1000,Продажи!$C$2:$C$1000,A157)))</f>
        <v/>
      </c>
    </row>
    <row r="158" customFormat="false" ht="15" hidden="false" customHeight="false" outlineLevel="0" collapsed="false">
      <c r="A158" s="6"/>
      <c r="B158" s="6"/>
      <c r="C158" s="6"/>
      <c r="D158" s="6"/>
      <c r="E158" s="8" t="str">
        <f aca="false">IF(A158="","",SUMIFS(Продажи!$H$2:$H$1000,Продажи!$C$2:$C$1000,A158))</f>
        <v/>
      </c>
      <c r="F158" s="11" t="str">
        <f aca="false">IF(A158="","",IF(COUNTIF(Продажи!$C$2:$C$1000,A158)=0,"",_xlfn.MAXIFS(Продажи!$A$2:$A$1000,Продажи!$C$2:$C$1000,A158)))</f>
        <v/>
      </c>
    </row>
    <row r="159" customFormat="false" ht="15" hidden="false" customHeight="false" outlineLevel="0" collapsed="false">
      <c r="A159" s="6"/>
      <c r="B159" s="6"/>
      <c r="C159" s="6"/>
      <c r="D159" s="6"/>
      <c r="E159" s="8" t="str">
        <f aca="false">IF(A159="","",SUMIFS(Продажи!$H$2:$H$1000,Продажи!$C$2:$C$1000,A159))</f>
        <v/>
      </c>
      <c r="F159" s="11" t="str">
        <f aca="false">IF(A159="","",IF(COUNTIF(Продажи!$C$2:$C$1000,A159)=0,"",_xlfn.MAXIFS(Продажи!$A$2:$A$1000,Продажи!$C$2:$C$1000,A159)))</f>
        <v/>
      </c>
    </row>
    <row r="160" customFormat="false" ht="15" hidden="false" customHeight="false" outlineLevel="0" collapsed="false">
      <c r="A160" s="6"/>
      <c r="B160" s="6"/>
      <c r="C160" s="6"/>
      <c r="D160" s="6"/>
      <c r="E160" s="8" t="str">
        <f aca="false">IF(A160="","",SUMIFS(Продажи!$H$2:$H$1000,Продажи!$C$2:$C$1000,A160))</f>
        <v/>
      </c>
      <c r="F160" s="11" t="str">
        <f aca="false">IF(A160="","",IF(COUNTIF(Продажи!$C$2:$C$1000,A160)=0,"",_xlfn.MAXIFS(Продажи!$A$2:$A$1000,Продажи!$C$2:$C$1000,A160)))</f>
        <v/>
      </c>
    </row>
    <row r="161" customFormat="false" ht="15" hidden="false" customHeight="false" outlineLevel="0" collapsed="false">
      <c r="A161" s="6"/>
      <c r="B161" s="6"/>
      <c r="C161" s="6"/>
      <c r="D161" s="6"/>
      <c r="E161" s="8" t="str">
        <f aca="false">IF(A161="","",SUMIFS(Продажи!$H$2:$H$1000,Продажи!$C$2:$C$1000,A161))</f>
        <v/>
      </c>
      <c r="F161" s="11" t="str">
        <f aca="false">IF(A161="","",IF(COUNTIF(Продажи!$C$2:$C$1000,A161)=0,"",_xlfn.MAXIFS(Продажи!$A$2:$A$1000,Продажи!$C$2:$C$1000,A161)))</f>
        <v/>
      </c>
    </row>
    <row r="162" customFormat="false" ht="15" hidden="false" customHeight="false" outlineLevel="0" collapsed="false">
      <c r="A162" s="6"/>
      <c r="B162" s="6"/>
      <c r="C162" s="6"/>
      <c r="D162" s="6"/>
      <c r="E162" s="8" t="str">
        <f aca="false">IF(A162="","",SUMIFS(Продажи!$H$2:$H$1000,Продажи!$C$2:$C$1000,A162))</f>
        <v/>
      </c>
      <c r="F162" s="11" t="str">
        <f aca="false">IF(A162="","",IF(COUNTIF(Продажи!$C$2:$C$1000,A162)=0,"",_xlfn.MAXIFS(Продажи!$A$2:$A$1000,Продажи!$C$2:$C$1000,A162)))</f>
        <v/>
      </c>
    </row>
    <row r="163" customFormat="false" ht="15" hidden="false" customHeight="false" outlineLevel="0" collapsed="false">
      <c r="A163" s="6"/>
      <c r="B163" s="6"/>
      <c r="C163" s="6"/>
      <c r="D163" s="6"/>
      <c r="E163" s="8" t="str">
        <f aca="false">IF(A163="","",SUMIFS(Продажи!$H$2:$H$1000,Продажи!$C$2:$C$1000,A163))</f>
        <v/>
      </c>
      <c r="F163" s="11" t="str">
        <f aca="false">IF(A163="","",IF(COUNTIF(Продажи!$C$2:$C$1000,A163)=0,"",_xlfn.MAXIFS(Продажи!$A$2:$A$1000,Продажи!$C$2:$C$1000,A163)))</f>
        <v/>
      </c>
    </row>
    <row r="164" customFormat="false" ht="15" hidden="false" customHeight="false" outlineLevel="0" collapsed="false">
      <c r="A164" s="6"/>
      <c r="B164" s="6"/>
      <c r="C164" s="6"/>
      <c r="D164" s="6"/>
      <c r="E164" s="8" t="str">
        <f aca="false">IF(A164="","",SUMIFS(Продажи!$H$2:$H$1000,Продажи!$C$2:$C$1000,A164))</f>
        <v/>
      </c>
      <c r="F164" s="11" t="str">
        <f aca="false">IF(A164="","",IF(COUNTIF(Продажи!$C$2:$C$1000,A164)=0,"",_xlfn.MAXIFS(Продажи!$A$2:$A$1000,Продажи!$C$2:$C$1000,A164)))</f>
        <v/>
      </c>
    </row>
    <row r="165" customFormat="false" ht="15" hidden="false" customHeight="false" outlineLevel="0" collapsed="false">
      <c r="A165" s="6"/>
      <c r="B165" s="6"/>
      <c r="C165" s="6"/>
      <c r="D165" s="6"/>
      <c r="E165" s="8" t="str">
        <f aca="false">IF(A165="","",SUMIFS(Продажи!$H$2:$H$1000,Продажи!$C$2:$C$1000,A165))</f>
        <v/>
      </c>
      <c r="F165" s="11" t="str">
        <f aca="false">IF(A165="","",IF(COUNTIF(Продажи!$C$2:$C$1000,A165)=0,"",_xlfn.MAXIFS(Продажи!$A$2:$A$1000,Продажи!$C$2:$C$1000,A165)))</f>
        <v/>
      </c>
    </row>
    <row r="166" customFormat="false" ht="15" hidden="false" customHeight="false" outlineLevel="0" collapsed="false">
      <c r="A166" s="6"/>
      <c r="B166" s="6"/>
      <c r="C166" s="6"/>
      <c r="D166" s="6"/>
      <c r="E166" s="8" t="str">
        <f aca="false">IF(A166="","",SUMIFS(Продажи!$H$2:$H$1000,Продажи!$C$2:$C$1000,A166))</f>
        <v/>
      </c>
      <c r="F166" s="11" t="str">
        <f aca="false">IF(A166="","",IF(COUNTIF(Продажи!$C$2:$C$1000,A166)=0,"",_xlfn.MAXIFS(Продажи!$A$2:$A$1000,Продажи!$C$2:$C$1000,A166)))</f>
        <v/>
      </c>
    </row>
    <row r="167" customFormat="false" ht="15" hidden="false" customHeight="false" outlineLevel="0" collapsed="false">
      <c r="A167" s="6"/>
      <c r="B167" s="6"/>
      <c r="C167" s="6"/>
      <c r="D167" s="6"/>
      <c r="E167" s="8" t="str">
        <f aca="false">IF(A167="","",SUMIFS(Продажи!$H$2:$H$1000,Продажи!$C$2:$C$1000,A167))</f>
        <v/>
      </c>
      <c r="F167" s="11" t="str">
        <f aca="false">IF(A167="","",IF(COUNTIF(Продажи!$C$2:$C$1000,A167)=0,"",_xlfn.MAXIFS(Продажи!$A$2:$A$1000,Продажи!$C$2:$C$1000,A167)))</f>
        <v/>
      </c>
    </row>
    <row r="168" customFormat="false" ht="15" hidden="false" customHeight="false" outlineLevel="0" collapsed="false">
      <c r="A168" s="6"/>
      <c r="B168" s="6"/>
      <c r="C168" s="6"/>
      <c r="D168" s="6"/>
      <c r="E168" s="8" t="str">
        <f aca="false">IF(A168="","",SUMIFS(Продажи!$H$2:$H$1000,Продажи!$C$2:$C$1000,A168))</f>
        <v/>
      </c>
      <c r="F168" s="11" t="str">
        <f aca="false">IF(A168="","",IF(COUNTIF(Продажи!$C$2:$C$1000,A168)=0,"",_xlfn.MAXIFS(Продажи!$A$2:$A$1000,Продажи!$C$2:$C$1000,A168)))</f>
        <v/>
      </c>
    </row>
    <row r="169" customFormat="false" ht="15" hidden="false" customHeight="false" outlineLevel="0" collapsed="false">
      <c r="A169" s="6"/>
      <c r="B169" s="6"/>
      <c r="C169" s="6"/>
      <c r="D169" s="6"/>
      <c r="E169" s="8" t="str">
        <f aca="false">IF(A169="","",SUMIFS(Продажи!$H$2:$H$1000,Продажи!$C$2:$C$1000,A169))</f>
        <v/>
      </c>
      <c r="F169" s="11" t="str">
        <f aca="false">IF(A169="","",IF(COUNTIF(Продажи!$C$2:$C$1000,A169)=0,"",_xlfn.MAXIFS(Продажи!$A$2:$A$1000,Продажи!$C$2:$C$1000,A169)))</f>
        <v/>
      </c>
    </row>
    <row r="170" customFormat="false" ht="15" hidden="false" customHeight="false" outlineLevel="0" collapsed="false">
      <c r="A170" s="6"/>
      <c r="B170" s="6"/>
      <c r="C170" s="6"/>
      <c r="D170" s="6"/>
      <c r="E170" s="8" t="str">
        <f aca="false">IF(A170="","",SUMIFS(Продажи!$H$2:$H$1000,Продажи!$C$2:$C$1000,A170))</f>
        <v/>
      </c>
      <c r="F170" s="11" t="str">
        <f aca="false">IF(A170="","",IF(COUNTIF(Продажи!$C$2:$C$1000,A170)=0,"",_xlfn.MAXIFS(Продажи!$A$2:$A$1000,Продажи!$C$2:$C$1000,A170)))</f>
        <v/>
      </c>
    </row>
    <row r="171" customFormat="false" ht="15" hidden="false" customHeight="false" outlineLevel="0" collapsed="false">
      <c r="A171" s="6"/>
      <c r="B171" s="6"/>
      <c r="C171" s="6"/>
      <c r="D171" s="6"/>
      <c r="E171" s="8" t="str">
        <f aca="false">IF(A171="","",SUMIFS(Продажи!$H$2:$H$1000,Продажи!$C$2:$C$1000,A171))</f>
        <v/>
      </c>
      <c r="F171" s="11" t="str">
        <f aca="false">IF(A171="","",IF(COUNTIF(Продажи!$C$2:$C$1000,A171)=0,"",_xlfn.MAXIFS(Продажи!$A$2:$A$1000,Продажи!$C$2:$C$1000,A171)))</f>
        <v/>
      </c>
    </row>
    <row r="172" customFormat="false" ht="15" hidden="false" customHeight="false" outlineLevel="0" collapsed="false">
      <c r="A172" s="6"/>
      <c r="B172" s="6"/>
      <c r="C172" s="6"/>
      <c r="D172" s="6"/>
      <c r="E172" s="8" t="str">
        <f aca="false">IF(A172="","",SUMIFS(Продажи!$H$2:$H$1000,Продажи!$C$2:$C$1000,A172))</f>
        <v/>
      </c>
      <c r="F172" s="11" t="str">
        <f aca="false">IF(A172="","",IF(COUNTIF(Продажи!$C$2:$C$1000,A172)=0,"",_xlfn.MAXIFS(Продажи!$A$2:$A$1000,Продажи!$C$2:$C$1000,A172)))</f>
        <v/>
      </c>
    </row>
    <row r="173" customFormat="false" ht="15" hidden="false" customHeight="false" outlineLevel="0" collapsed="false">
      <c r="A173" s="6"/>
      <c r="B173" s="6"/>
      <c r="C173" s="6"/>
      <c r="D173" s="6"/>
      <c r="E173" s="8" t="str">
        <f aca="false">IF(A173="","",SUMIFS(Продажи!$H$2:$H$1000,Продажи!$C$2:$C$1000,A173))</f>
        <v/>
      </c>
      <c r="F173" s="11" t="str">
        <f aca="false">IF(A173="","",IF(COUNTIF(Продажи!$C$2:$C$1000,A173)=0,"",_xlfn.MAXIFS(Продажи!$A$2:$A$1000,Продажи!$C$2:$C$1000,A173)))</f>
        <v/>
      </c>
    </row>
    <row r="174" customFormat="false" ht="15" hidden="false" customHeight="false" outlineLevel="0" collapsed="false">
      <c r="A174" s="6"/>
      <c r="B174" s="6"/>
      <c r="C174" s="6"/>
      <c r="D174" s="6"/>
      <c r="E174" s="8" t="str">
        <f aca="false">IF(A174="","",SUMIFS(Продажи!$H$2:$H$1000,Продажи!$C$2:$C$1000,A174))</f>
        <v/>
      </c>
      <c r="F174" s="11" t="str">
        <f aca="false">IF(A174="","",IF(COUNTIF(Продажи!$C$2:$C$1000,A174)=0,"",_xlfn.MAXIFS(Продажи!$A$2:$A$1000,Продажи!$C$2:$C$1000,A174)))</f>
        <v/>
      </c>
    </row>
    <row r="175" customFormat="false" ht="15" hidden="false" customHeight="false" outlineLevel="0" collapsed="false">
      <c r="A175" s="6"/>
      <c r="B175" s="6"/>
      <c r="C175" s="6"/>
      <c r="D175" s="6"/>
      <c r="E175" s="8" t="str">
        <f aca="false">IF(A175="","",SUMIFS(Продажи!$H$2:$H$1000,Продажи!$C$2:$C$1000,A175))</f>
        <v/>
      </c>
      <c r="F175" s="11" t="str">
        <f aca="false">IF(A175="","",IF(COUNTIF(Продажи!$C$2:$C$1000,A175)=0,"",_xlfn.MAXIFS(Продажи!$A$2:$A$1000,Продажи!$C$2:$C$1000,A175)))</f>
        <v/>
      </c>
    </row>
    <row r="176" customFormat="false" ht="15" hidden="false" customHeight="false" outlineLevel="0" collapsed="false">
      <c r="A176" s="6"/>
      <c r="B176" s="6"/>
      <c r="C176" s="6"/>
      <c r="D176" s="6"/>
      <c r="E176" s="8" t="str">
        <f aca="false">IF(A176="","",SUMIFS(Продажи!$H$2:$H$1000,Продажи!$C$2:$C$1000,A176))</f>
        <v/>
      </c>
      <c r="F176" s="11" t="str">
        <f aca="false">IF(A176="","",IF(COUNTIF(Продажи!$C$2:$C$1000,A176)=0,"",_xlfn.MAXIFS(Продажи!$A$2:$A$1000,Продажи!$C$2:$C$1000,A176)))</f>
        <v/>
      </c>
    </row>
    <row r="177" customFormat="false" ht="15" hidden="false" customHeight="false" outlineLevel="0" collapsed="false">
      <c r="A177" s="6"/>
      <c r="B177" s="6"/>
      <c r="C177" s="6"/>
      <c r="D177" s="6"/>
      <c r="E177" s="8" t="str">
        <f aca="false">IF(A177="","",SUMIFS(Продажи!$H$2:$H$1000,Продажи!$C$2:$C$1000,A177))</f>
        <v/>
      </c>
      <c r="F177" s="11" t="str">
        <f aca="false">IF(A177="","",IF(COUNTIF(Продажи!$C$2:$C$1000,A177)=0,"",_xlfn.MAXIFS(Продажи!$A$2:$A$1000,Продажи!$C$2:$C$1000,A177)))</f>
        <v/>
      </c>
    </row>
    <row r="178" customFormat="false" ht="15" hidden="false" customHeight="false" outlineLevel="0" collapsed="false">
      <c r="A178" s="6"/>
      <c r="B178" s="6"/>
      <c r="C178" s="6"/>
      <c r="D178" s="6"/>
      <c r="E178" s="8" t="str">
        <f aca="false">IF(A178="","",SUMIFS(Продажи!$H$2:$H$1000,Продажи!$C$2:$C$1000,A178))</f>
        <v/>
      </c>
      <c r="F178" s="11" t="str">
        <f aca="false">IF(A178="","",IF(COUNTIF(Продажи!$C$2:$C$1000,A178)=0,"",_xlfn.MAXIFS(Продажи!$A$2:$A$1000,Продажи!$C$2:$C$1000,A178)))</f>
        <v/>
      </c>
    </row>
    <row r="179" customFormat="false" ht="15" hidden="false" customHeight="false" outlineLevel="0" collapsed="false">
      <c r="A179" s="6"/>
      <c r="B179" s="6"/>
      <c r="C179" s="6"/>
      <c r="D179" s="6"/>
      <c r="E179" s="8" t="str">
        <f aca="false">IF(A179="","",SUMIFS(Продажи!$H$2:$H$1000,Продажи!$C$2:$C$1000,A179))</f>
        <v/>
      </c>
      <c r="F179" s="11" t="str">
        <f aca="false">IF(A179="","",IF(COUNTIF(Продажи!$C$2:$C$1000,A179)=0,"",_xlfn.MAXIFS(Продажи!$A$2:$A$1000,Продажи!$C$2:$C$1000,A179)))</f>
        <v/>
      </c>
    </row>
    <row r="180" customFormat="false" ht="15" hidden="false" customHeight="false" outlineLevel="0" collapsed="false">
      <c r="A180" s="6"/>
      <c r="B180" s="6"/>
      <c r="C180" s="6"/>
      <c r="D180" s="6"/>
      <c r="E180" s="8" t="str">
        <f aca="false">IF(A180="","",SUMIFS(Продажи!$H$2:$H$1000,Продажи!$C$2:$C$1000,A180))</f>
        <v/>
      </c>
      <c r="F180" s="11" t="str">
        <f aca="false">IF(A180="","",IF(COUNTIF(Продажи!$C$2:$C$1000,A180)=0,"",_xlfn.MAXIFS(Продажи!$A$2:$A$1000,Продажи!$C$2:$C$1000,A180)))</f>
        <v/>
      </c>
    </row>
    <row r="181" customFormat="false" ht="15" hidden="false" customHeight="false" outlineLevel="0" collapsed="false">
      <c r="A181" s="6"/>
      <c r="B181" s="6"/>
      <c r="C181" s="6"/>
      <c r="D181" s="6"/>
      <c r="E181" s="8" t="str">
        <f aca="false">IF(A181="","",SUMIFS(Продажи!$H$2:$H$1000,Продажи!$C$2:$C$1000,A181))</f>
        <v/>
      </c>
      <c r="F181" s="11" t="str">
        <f aca="false">IF(A181="","",IF(COUNTIF(Продажи!$C$2:$C$1000,A181)=0,"",_xlfn.MAXIFS(Продажи!$A$2:$A$1000,Продажи!$C$2:$C$1000,A181)))</f>
        <v/>
      </c>
    </row>
    <row r="182" customFormat="false" ht="15" hidden="false" customHeight="false" outlineLevel="0" collapsed="false">
      <c r="A182" s="6"/>
      <c r="B182" s="6"/>
      <c r="C182" s="6"/>
      <c r="D182" s="6"/>
      <c r="E182" s="8" t="str">
        <f aca="false">IF(A182="","",SUMIFS(Продажи!$H$2:$H$1000,Продажи!$C$2:$C$1000,A182))</f>
        <v/>
      </c>
      <c r="F182" s="11" t="str">
        <f aca="false">IF(A182="","",IF(COUNTIF(Продажи!$C$2:$C$1000,A182)=0,"",_xlfn.MAXIFS(Продажи!$A$2:$A$1000,Продажи!$C$2:$C$1000,A182)))</f>
        <v/>
      </c>
    </row>
    <row r="183" customFormat="false" ht="15" hidden="false" customHeight="false" outlineLevel="0" collapsed="false">
      <c r="A183" s="6"/>
      <c r="B183" s="6"/>
      <c r="C183" s="6"/>
      <c r="D183" s="6"/>
      <c r="E183" s="8" t="str">
        <f aca="false">IF(A183="","",SUMIFS(Продажи!$H$2:$H$1000,Продажи!$C$2:$C$1000,A183))</f>
        <v/>
      </c>
      <c r="F183" s="11" t="str">
        <f aca="false">IF(A183="","",IF(COUNTIF(Продажи!$C$2:$C$1000,A183)=0,"",_xlfn.MAXIFS(Продажи!$A$2:$A$1000,Продажи!$C$2:$C$1000,A183)))</f>
        <v/>
      </c>
    </row>
    <row r="184" customFormat="false" ht="15" hidden="false" customHeight="false" outlineLevel="0" collapsed="false">
      <c r="A184" s="6"/>
      <c r="B184" s="6"/>
      <c r="C184" s="6"/>
      <c r="D184" s="6"/>
      <c r="E184" s="8" t="str">
        <f aca="false">IF(A184="","",SUMIFS(Продажи!$H$2:$H$1000,Продажи!$C$2:$C$1000,A184))</f>
        <v/>
      </c>
      <c r="F184" s="11" t="str">
        <f aca="false">IF(A184="","",IF(COUNTIF(Продажи!$C$2:$C$1000,A184)=0,"",_xlfn.MAXIFS(Продажи!$A$2:$A$1000,Продажи!$C$2:$C$1000,A184)))</f>
        <v/>
      </c>
    </row>
    <row r="185" customFormat="false" ht="15" hidden="false" customHeight="false" outlineLevel="0" collapsed="false">
      <c r="A185" s="6"/>
      <c r="B185" s="6"/>
      <c r="C185" s="6"/>
      <c r="D185" s="6"/>
      <c r="E185" s="8" t="str">
        <f aca="false">IF(A185="","",SUMIFS(Продажи!$H$2:$H$1000,Продажи!$C$2:$C$1000,A185))</f>
        <v/>
      </c>
      <c r="F185" s="11" t="str">
        <f aca="false">IF(A185="","",IF(COUNTIF(Продажи!$C$2:$C$1000,A185)=0,"",_xlfn.MAXIFS(Продажи!$A$2:$A$1000,Продажи!$C$2:$C$1000,A185)))</f>
        <v/>
      </c>
    </row>
    <row r="186" customFormat="false" ht="15" hidden="false" customHeight="false" outlineLevel="0" collapsed="false">
      <c r="A186" s="6"/>
      <c r="B186" s="6"/>
      <c r="C186" s="6"/>
      <c r="D186" s="6"/>
      <c r="E186" s="8" t="str">
        <f aca="false">IF(A186="","",SUMIFS(Продажи!$H$2:$H$1000,Продажи!$C$2:$C$1000,A186))</f>
        <v/>
      </c>
      <c r="F186" s="11" t="str">
        <f aca="false">IF(A186="","",IF(COUNTIF(Продажи!$C$2:$C$1000,A186)=0,"",_xlfn.MAXIFS(Продажи!$A$2:$A$1000,Продажи!$C$2:$C$1000,A186)))</f>
        <v/>
      </c>
    </row>
    <row r="187" customFormat="false" ht="15" hidden="false" customHeight="false" outlineLevel="0" collapsed="false">
      <c r="A187" s="6"/>
      <c r="B187" s="6"/>
      <c r="C187" s="6"/>
      <c r="D187" s="6"/>
      <c r="E187" s="8" t="str">
        <f aca="false">IF(A187="","",SUMIFS(Продажи!$H$2:$H$1000,Продажи!$C$2:$C$1000,A187))</f>
        <v/>
      </c>
      <c r="F187" s="11" t="str">
        <f aca="false">IF(A187="","",IF(COUNTIF(Продажи!$C$2:$C$1000,A187)=0,"",_xlfn.MAXIFS(Продажи!$A$2:$A$1000,Продажи!$C$2:$C$1000,A187)))</f>
        <v/>
      </c>
    </row>
    <row r="188" customFormat="false" ht="15" hidden="false" customHeight="false" outlineLevel="0" collapsed="false">
      <c r="A188" s="6"/>
      <c r="B188" s="6"/>
      <c r="C188" s="6"/>
      <c r="D188" s="6"/>
      <c r="E188" s="8" t="str">
        <f aca="false">IF(A188="","",SUMIFS(Продажи!$H$2:$H$1000,Продажи!$C$2:$C$1000,A188))</f>
        <v/>
      </c>
      <c r="F188" s="11" t="str">
        <f aca="false">IF(A188="","",IF(COUNTIF(Продажи!$C$2:$C$1000,A188)=0,"",_xlfn.MAXIFS(Продажи!$A$2:$A$1000,Продажи!$C$2:$C$1000,A188)))</f>
        <v/>
      </c>
    </row>
    <row r="189" customFormat="false" ht="15" hidden="false" customHeight="false" outlineLevel="0" collapsed="false">
      <c r="A189" s="6"/>
      <c r="B189" s="6"/>
      <c r="C189" s="6"/>
      <c r="D189" s="6"/>
      <c r="E189" s="8" t="str">
        <f aca="false">IF(A189="","",SUMIFS(Продажи!$H$2:$H$1000,Продажи!$C$2:$C$1000,A189))</f>
        <v/>
      </c>
      <c r="F189" s="11" t="str">
        <f aca="false">IF(A189="","",IF(COUNTIF(Продажи!$C$2:$C$1000,A189)=0,"",_xlfn.MAXIFS(Продажи!$A$2:$A$1000,Продажи!$C$2:$C$1000,A189)))</f>
        <v/>
      </c>
    </row>
    <row r="190" customFormat="false" ht="15" hidden="false" customHeight="false" outlineLevel="0" collapsed="false">
      <c r="A190" s="6"/>
      <c r="B190" s="6"/>
      <c r="C190" s="6"/>
      <c r="D190" s="6"/>
      <c r="E190" s="8" t="str">
        <f aca="false">IF(A190="","",SUMIFS(Продажи!$H$2:$H$1000,Продажи!$C$2:$C$1000,A190))</f>
        <v/>
      </c>
      <c r="F190" s="11" t="str">
        <f aca="false">IF(A190="","",IF(COUNTIF(Продажи!$C$2:$C$1000,A190)=0,"",_xlfn.MAXIFS(Продажи!$A$2:$A$1000,Продажи!$C$2:$C$1000,A190)))</f>
        <v/>
      </c>
    </row>
    <row r="191" customFormat="false" ht="15" hidden="false" customHeight="false" outlineLevel="0" collapsed="false">
      <c r="A191" s="6"/>
      <c r="B191" s="6"/>
      <c r="C191" s="6"/>
      <c r="D191" s="6"/>
      <c r="E191" s="8" t="str">
        <f aca="false">IF(A191="","",SUMIFS(Продажи!$H$2:$H$1000,Продажи!$C$2:$C$1000,A191))</f>
        <v/>
      </c>
      <c r="F191" s="11" t="str">
        <f aca="false">IF(A191="","",IF(COUNTIF(Продажи!$C$2:$C$1000,A191)=0,"",_xlfn.MAXIFS(Продажи!$A$2:$A$1000,Продажи!$C$2:$C$1000,A191)))</f>
        <v/>
      </c>
    </row>
    <row r="192" customFormat="false" ht="15" hidden="false" customHeight="false" outlineLevel="0" collapsed="false">
      <c r="A192" s="6"/>
      <c r="B192" s="6"/>
      <c r="C192" s="6"/>
      <c r="D192" s="6"/>
      <c r="E192" s="8" t="str">
        <f aca="false">IF(A192="","",SUMIFS(Продажи!$H$2:$H$1000,Продажи!$C$2:$C$1000,A192))</f>
        <v/>
      </c>
      <c r="F192" s="11" t="str">
        <f aca="false">IF(A192="","",IF(COUNTIF(Продажи!$C$2:$C$1000,A192)=0,"",_xlfn.MAXIFS(Продажи!$A$2:$A$1000,Продажи!$C$2:$C$1000,A192)))</f>
        <v/>
      </c>
    </row>
    <row r="193" customFormat="false" ht="15" hidden="false" customHeight="false" outlineLevel="0" collapsed="false">
      <c r="A193" s="6"/>
      <c r="B193" s="6"/>
      <c r="C193" s="6"/>
      <c r="D193" s="6"/>
      <c r="E193" s="8" t="str">
        <f aca="false">IF(A193="","",SUMIFS(Продажи!$H$2:$H$1000,Продажи!$C$2:$C$1000,A193))</f>
        <v/>
      </c>
      <c r="F193" s="11" t="str">
        <f aca="false">IF(A193="","",IF(COUNTIF(Продажи!$C$2:$C$1000,A193)=0,"",_xlfn.MAXIFS(Продажи!$A$2:$A$1000,Продажи!$C$2:$C$1000,A193)))</f>
        <v/>
      </c>
    </row>
    <row r="194" customFormat="false" ht="15" hidden="false" customHeight="false" outlineLevel="0" collapsed="false">
      <c r="A194" s="6"/>
      <c r="B194" s="6"/>
      <c r="C194" s="6"/>
      <c r="D194" s="6"/>
      <c r="E194" s="8" t="str">
        <f aca="false">IF(A194="","",SUMIFS(Продажи!$H$2:$H$1000,Продажи!$C$2:$C$1000,A194))</f>
        <v/>
      </c>
      <c r="F194" s="11" t="str">
        <f aca="false">IF(A194="","",IF(COUNTIF(Продажи!$C$2:$C$1000,A194)=0,"",_xlfn.MAXIFS(Продажи!$A$2:$A$1000,Продажи!$C$2:$C$1000,A194)))</f>
        <v/>
      </c>
    </row>
    <row r="195" customFormat="false" ht="15" hidden="false" customHeight="false" outlineLevel="0" collapsed="false">
      <c r="A195" s="6"/>
      <c r="B195" s="6"/>
      <c r="C195" s="6"/>
      <c r="D195" s="6"/>
      <c r="E195" s="8" t="str">
        <f aca="false">IF(A195="","",SUMIFS(Продажи!$H$2:$H$1000,Продажи!$C$2:$C$1000,A195))</f>
        <v/>
      </c>
      <c r="F195" s="11" t="str">
        <f aca="false">IF(A195="","",IF(COUNTIF(Продажи!$C$2:$C$1000,A195)=0,"",_xlfn.MAXIFS(Продажи!$A$2:$A$1000,Продажи!$C$2:$C$1000,A195)))</f>
        <v/>
      </c>
    </row>
    <row r="196" customFormat="false" ht="15" hidden="false" customHeight="false" outlineLevel="0" collapsed="false">
      <c r="A196" s="6"/>
      <c r="B196" s="6"/>
      <c r="C196" s="6"/>
      <c r="D196" s="6"/>
      <c r="E196" s="8" t="str">
        <f aca="false">IF(A196="","",SUMIFS(Продажи!$H$2:$H$1000,Продажи!$C$2:$C$1000,A196))</f>
        <v/>
      </c>
      <c r="F196" s="11" t="str">
        <f aca="false">IF(A196="","",IF(COUNTIF(Продажи!$C$2:$C$1000,A196)=0,"",_xlfn.MAXIFS(Продажи!$A$2:$A$1000,Продажи!$C$2:$C$1000,A196)))</f>
        <v/>
      </c>
    </row>
    <row r="197" customFormat="false" ht="15" hidden="false" customHeight="false" outlineLevel="0" collapsed="false">
      <c r="A197" s="6"/>
      <c r="B197" s="6"/>
      <c r="C197" s="6"/>
      <c r="D197" s="6"/>
      <c r="E197" s="8" t="str">
        <f aca="false">IF(A197="","",SUMIFS(Продажи!$H$2:$H$1000,Продажи!$C$2:$C$1000,A197))</f>
        <v/>
      </c>
      <c r="F197" s="11" t="str">
        <f aca="false">IF(A197="","",IF(COUNTIF(Продажи!$C$2:$C$1000,A197)=0,"",_xlfn.MAXIFS(Продажи!$A$2:$A$1000,Продажи!$C$2:$C$1000,A197)))</f>
        <v/>
      </c>
    </row>
    <row r="198" customFormat="false" ht="15" hidden="false" customHeight="false" outlineLevel="0" collapsed="false">
      <c r="A198" s="6"/>
      <c r="B198" s="6"/>
      <c r="C198" s="6"/>
      <c r="D198" s="6"/>
      <c r="E198" s="8" t="str">
        <f aca="false">IF(A198="","",SUMIFS(Продажи!$H$2:$H$1000,Продажи!$C$2:$C$1000,A198))</f>
        <v/>
      </c>
      <c r="F198" s="11" t="str">
        <f aca="false">IF(A198="","",IF(COUNTIF(Продажи!$C$2:$C$1000,A198)=0,"",_xlfn.MAXIFS(Продажи!$A$2:$A$1000,Продажи!$C$2:$C$1000,A198)))</f>
        <v/>
      </c>
    </row>
    <row r="199" customFormat="false" ht="15" hidden="false" customHeight="false" outlineLevel="0" collapsed="false">
      <c r="A199" s="6"/>
      <c r="B199" s="6"/>
      <c r="C199" s="6"/>
      <c r="D199" s="6"/>
      <c r="E199" s="8" t="str">
        <f aca="false">IF(A199="","",SUMIFS(Продажи!$H$2:$H$1000,Продажи!$C$2:$C$1000,A199))</f>
        <v/>
      </c>
      <c r="F199" s="11" t="str">
        <f aca="false">IF(A199="","",IF(COUNTIF(Продажи!$C$2:$C$1000,A199)=0,"",_xlfn.MAXIFS(Продажи!$A$2:$A$1000,Продажи!$C$2:$C$1000,A199)))</f>
        <v/>
      </c>
    </row>
    <row r="200" customFormat="false" ht="15" hidden="false" customHeight="false" outlineLevel="0" collapsed="false">
      <c r="A200" s="6"/>
      <c r="B200" s="6"/>
      <c r="C200" s="6"/>
      <c r="D200" s="6"/>
      <c r="E200" s="8" t="str">
        <f aca="false">IF(A200="","",SUMIFS(Продажи!$H$2:$H$1000,Продажи!$C$2:$C$1000,A200))</f>
        <v/>
      </c>
      <c r="F200" s="11" t="str">
        <f aca="false">IF(A200="","",IF(COUNTIF(Продажи!$C$2:$C$1000,A200)=0,"",_xlfn.MAXIFS(Продажи!$A$2:$A$1000,Продажи!$C$2:$C$1000,A200)))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4" min="2" style="0" width="16"/>
    <col collapsed="false" customWidth="true" hidden="false" outlineLevel="0" max="5" min="5" style="0" width="10"/>
    <col collapsed="false" customWidth="true" hidden="false" outlineLevel="0" max="6" min="6" style="0" width="3"/>
    <col collapsed="false" customWidth="true" hidden="false" outlineLevel="0" max="7" min="7" style="0" width="28"/>
    <col collapsed="false" customWidth="true" hidden="false" outlineLevel="0" max="8" min="8" style="0" width="12"/>
    <col collapsed="false" customWidth="true" hidden="false" outlineLevel="0" max="9" min="9" style="0" width="16"/>
    <col collapsed="false" customWidth="true" hidden="false" outlineLevel="0" max="10" min="10" style="0" width="10"/>
  </cols>
  <sheetData>
    <row r="1" customFormat="false" ht="17.35" hidden="false" customHeight="false" outlineLevel="0" collapsed="false">
      <c r="A1" s="12" t="s">
        <v>70</v>
      </c>
    </row>
    <row r="2" customFormat="false" ht="15" hidden="false" customHeight="false" outlineLevel="0" collapsed="false">
      <c r="A2" s="13" t="s">
        <v>71</v>
      </c>
      <c r="B2" s="6" t="n">
        <v>2026</v>
      </c>
      <c r="C2" s="14" t="s">
        <v>72</v>
      </c>
    </row>
    <row r="4" customFormat="false" ht="30" hidden="false" customHeight="true" outlineLevel="0" collapsed="false">
      <c r="A4" s="4" t="s">
        <v>31</v>
      </c>
      <c r="B4" s="4" t="s">
        <v>73</v>
      </c>
      <c r="C4" s="4" t="s">
        <v>30</v>
      </c>
      <c r="D4" s="4" t="s">
        <v>74</v>
      </c>
      <c r="E4" s="4" t="s">
        <v>75</v>
      </c>
    </row>
    <row r="5" customFormat="false" ht="15" hidden="false" customHeight="false" outlineLevel="0" collapsed="false">
      <c r="A5" s="7" t="s">
        <v>76</v>
      </c>
      <c r="B5" s="8" t="n">
        <f aca="false">SUMIFS(Продажи!$H$2:$H$1000,Продажи!$L$2:$L$1000,$B$2,Продажи!$K$2:$K$1000,1)</f>
        <v>192500</v>
      </c>
      <c r="C5" s="8" t="n">
        <f aca="false">SUMIFS(Продажи!$J$2:$J$1000,Продажи!$L$2:$L$1000,$B$2,Продажи!$K$2:$K$1000,1)</f>
        <v>77500</v>
      </c>
      <c r="D5" s="7" t="n">
        <f aca="false">COUNTIFS(Продажи!$L$2:$L$1000,$B$2,Продажи!$K$2:$K$1000,1)</f>
        <v>2</v>
      </c>
      <c r="E5" s="15" t="n">
        <f aca="false">IF(B5=0,0,C5/B5)</f>
        <v>0.402597402597403</v>
      </c>
    </row>
    <row r="6" customFormat="false" ht="15" hidden="false" customHeight="false" outlineLevel="0" collapsed="false">
      <c r="A6" s="7" t="s">
        <v>77</v>
      </c>
      <c r="B6" s="8" t="n">
        <f aca="false">SUMIFS(Продажи!$H$2:$H$1000,Продажи!$L$2:$L$1000,$B$2,Продажи!$K$2:$K$1000,2)</f>
        <v>124000</v>
      </c>
      <c r="C6" s="8" t="n">
        <f aca="false">SUMIFS(Продажи!$J$2:$J$1000,Продажи!$L$2:$L$1000,$B$2,Продажи!$K$2:$K$1000,2)</f>
        <v>52000</v>
      </c>
      <c r="D6" s="7" t="n">
        <f aca="false">COUNTIFS(Продажи!$L$2:$L$1000,$B$2,Продажи!$K$2:$K$1000,2)</f>
        <v>2</v>
      </c>
      <c r="E6" s="15" t="n">
        <f aca="false">IF(B6=0,0,C6/B6)</f>
        <v>0.419354838709677</v>
      </c>
    </row>
    <row r="7" customFormat="false" ht="15" hidden="false" customHeight="false" outlineLevel="0" collapsed="false">
      <c r="A7" s="7" t="s">
        <v>78</v>
      </c>
      <c r="B7" s="8" t="n">
        <f aca="false">SUMIFS(Продажи!$H$2:$H$1000,Продажи!$L$2:$L$1000,$B$2,Продажи!$K$2:$K$1000,3)</f>
        <v>300000</v>
      </c>
      <c r="C7" s="8" t="n">
        <f aca="false">SUMIFS(Продажи!$J$2:$J$1000,Продажи!$L$2:$L$1000,$B$2,Продажи!$K$2:$K$1000,3)</f>
        <v>108000</v>
      </c>
      <c r="D7" s="7" t="n">
        <f aca="false">COUNTIFS(Продажи!$L$2:$L$1000,$B$2,Продажи!$K$2:$K$1000,3)</f>
        <v>1</v>
      </c>
      <c r="E7" s="15" t="n">
        <f aca="false">IF(B7=0,0,C7/B7)</f>
        <v>0.36</v>
      </c>
    </row>
    <row r="8" customFormat="false" ht="15" hidden="false" customHeight="false" outlineLevel="0" collapsed="false">
      <c r="A8" s="7" t="s">
        <v>79</v>
      </c>
      <c r="B8" s="8" t="n">
        <f aca="false">SUMIFS(Продажи!$H$2:$H$1000,Продажи!$L$2:$L$1000,$B$2,Продажи!$K$2:$K$1000,4)</f>
        <v>68000</v>
      </c>
      <c r="C8" s="8" t="n">
        <f aca="false">SUMIFS(Продажи!$J$2:$J$1000,Продажи!$L$2:$L$1000,$B$2,Продажи!$K$2:$K$1000,4)</f>
        <v>28000</v>
      </c>
      <c r="D8" s="7" t="n">
        <f aca="false">COUNTIFS(Продажи!$L$2:$L$1000,$B$2,Продажи!$K$2:$K$1000,4)</f>
        <v>1</v>
      </c>
      <c r="E8" s="15" t="n">
        <f aca="false">IF(B8=0,0,C8/B8)</f>
        <v>0.411764705882353</v>
      </c>
    </row>
    <row r="9" customFormat="false" ht="15" hidden="false" customHeight="false" outlineLevel="0" collapsed="false">
      <c r="A9" s="7" t="s">
        <v>80</v>
      </c>
      <c r="B9" s="8" t="n">
        <f aca="false">SUMIFS(Продажи!$H$2:$H$1000,Продажи!$L$2:$L$1000,$B$2,Продажи!$K$2:$K$1000,5)</f>
        <v>0</v>
      </c>
      <c r="C9" s="8" t="n">
        <f aca="false">SUMIFS(Продажи!$J$2:$J$1000,Продажи!$L$2:$L$1000,$B$2,Продажи!$K$2:$K$1000,5)</f>
        <v>0</v>
      </c>
      <c r="D9" s="7" t="n">
        <f aca="false">COUNTIFS(Продажи!$L$2:$L$1000,$B$2,Продажи!$K$2:$K$1000,5)</f>
        <v>0</v>
      </c>
      <c r="E9" s="15" t="n">
        <f aca="false">IF(B9=0,0,C9/B9)</f>
        <v>0</v>
      </c>
    </row>
    <row r="10" customFormat="false" ht="15" hidden="false" customHeight="false" outlineLevel="0" collapsed="false">
      <c r="A10" s="7" t="s">
        <v>81</v>
      </c>
      <c r="B10" s="8" t="n">
        <f aca="false">SUMIFS(Продажи!$H$2:$H$1000,Продажи!$L$2:$L$1000,$B$2,Продажи!$K$2:$K$1000,6)</f>
        <v>96000</v>
      </c>
      <c r="C10" s="8" t="n">
        <f aca="false">SUMIFS(Продажи!$J$2:$J$1000,Продажи!$L$2:$L$1000,$B$2,Продажи!$K$2:$K$1000,6)</f>
        <v>42000</v>
      </c>
      <c r="D10" s="7" t="n">
        <f aca="false">COUNTIFS(Продажи!$L$2:$L$1000,$B$2,Продажи!$K$2:$K$1000,6)</f>
        <v>1</v>
      </c>
      <c r="E10" s="15" t="n">
        <f aca="false">IF(B10=0,0,C10/B10)</f>
        <v>0.4375</v>
      </c>
    </row>
    <row r="11" customFormat="false" ht="15" hidden="false" customHeight="false" outlineLevel="0" collapsed="false">
      <c r="A11" s="7" t="s">
        <v>82</v>
      </c>
      <c r="B11" s="8" t="n">
        <f aca="false">SUMIFS(Продажи!$H$2:$H$1000,Продажи!$L$2:$L$1000,$B$2,Продажи!$K$2:$K$1000,7)</f>
        <v>0</v>
      </c>
      <c r="C11" s="8" t="n">
        <f aca="false">SUMIFS(Продажи!$J$2:$J$1000,Продажи!$L$2:$L$1000,$B$2,Продажи!$K$2:$K$1000,7)</f>
        <v>0</v>
      </c>
      <c r="D11" s="7" t="n">
        <f aca="false">COUNTIFS(Продажи!$L$2:$L$1000,$B$2,Продажи!$K$2:$K$1000,7)</f>
        <v>0</v>
      </c>
      <c r="E11" s="15" t="n">
        <f aca="false">IF(B11=0,0,C11/B11)</f>
        <v>0</v>
      </c>
    </row>
    <row r="12" customFormat="false" ht="15" hidden="false" customHeight="false" outlineLevel="0" collapsed="false">
      <c r="A12" s="7" t="s">
        <v>83</v>
      </c>
      <c r="B12" s="8" t="n">
        <f aca="false">SUMIFS(Продажи!$H$2:$H$1000,Продажи!$L$2:$L$1000,$B$2,Продажи!$K$2:$K$1000,8)</f>
        <v>0</v>
      </c>
      <c r="C12" s="8" t="n">
        <f aca="false">SUMIFS(Продажи!$J$2:$J$1000,Продажи!$L$2:$L$1000,$B$2,Продажи!$K$2:$K$1000,8)</f>
        <v>0</v>
      </c>
      <c r="D12" s="7" t="n">
        <f aca="false">COUNTIFS(Продажи!$L$2:$L$1000,$B$2,Продажи!$K$2:$K$1000,8)</f>
        <v>0</v>
      </c>
      <c r="E12" s="15" t="n">
        <f aca="false">IF(B12=0,0,C12/B12)</f>
        <v>0</v>
      </c>
    </row>
    <row r="13" customFormat="false" ht="15" hidden="false" customHeight="false" outlineLevel="0" collapsed="false">
      <c r="A13" s="7" t="s">
        <v>84</v>
      </c>
      <c r="B13" s="8" t="n">
        <f aca="false">SUMIFS(Продажи!$H$2:$H$1000,Продажи!$L$2:$L$1000,$B$2,Продажи!$K$2:$K$1000,9)</f>
        <v>90000</v>
      </c>
      <c r="C13" s="8" t="n">
        <f aca="false">SUMIFS(Продажи!$J$2:$J$1000,Продажи!$L$2:$L$1000,$B$2,Продажи!$K$2:$K$1000,9)</f>
        <v>36000</v>
      </c>
      <c r="D13" s="7" t="n">
        <f aca="false">COUNTIFS(Продажи!$L$2:$L$1000,$B$2,Продажи!$K$2:$K$1000,9)</f>
        <v>1</v>
      </c>
      <c r="E13" s="15" t="n">
        <f aca="false">IF(B13=0,0,C13/B13)</f>
        <v>0.4</v>
      </c>
    </row>
    <row r="14" customFormat="false" ht="15" hidden="false" customHeight="false" outlineLevel="0" collapsed="false">
      <c r="A14" s="7" t="s">
        <v>85</v>
      </c>
      <c r="B14" s="8" t="n">
        <f aca="false">SUMIFS(Продажи!$H$2:$H$1000,Продажи!$L$2:$L$1000,$B$2,Продажи!$K$2:$K$1000,10)</f>
        <v>0</v>
      </c>
      <c r="C14" s="8" t="n">
        <f aca="false">SUMIFS(Продажи!$J$2:$J$1000,Продажи!$L$2:$L$1000,$B$2,Продажи!$K$2:$K$1000,10)</f>
        <v>0</v>
      </c>
      <c r="D14" s="7" t="n">
        <f aca="false">COUNTIFS(Продажи!$L$2:$L$1000,$B$2,Продажи!$K$2:$K$1000,10)</f>
        <v>0</v>
      </c>
      <c r="E14" s="15" t="n">
        <f aca="false">IF(B14=0,0,C14/B14)</f>
        <v>0</v>
      </c>
    </row>
    <row r="15" customFormat="false" ht="15" hidden="false" customHeight="false" outlineLevel="0" collapsed="false">
      <c r="A15" s="7" t="s">
        <v>86</v>
      </c>
      <c r="B15" s="8" t="n">
        <f aca="false">SUMIFS(Продажи!$H$2:$H$1000,Продажи!$L$2:$L$1000,$B$2,Продажи!$K$2:$K$1000,11)</f>
        <v>0</v>
      </c>
      <c r="C15" s="8" t="n">
        <f aca="false">SUMIFS(Продажи!$J$2:$J$1000,Продажи!$L$2:$L$1000,$B$2,Продажи!$K$2:$K$1000,11)</f>
        <v>0</v>
      </c>
      <c r="D15" s="7" t="n">
        <f aca="false">COUNTIFS(Продажи!$L$2:$L$1000,$B$2,Продажи!$K$2:$K$1000,11)</f>
        <v>0</v>
      </c>
      <c r="E15" s="15" t="n">
        <f aca="false">IF(B15=0,0,C15/B15)</f>
        <v>0</v>
      </c>
    </row>
    <row r="16" customFormat="false" ht="15" hidden="false" customHeight="false" outlineLevel="0" collapsed="false">
      <c r="A16" s="7" t="s">
        <v>87</v>
      </c>
      <c r="B16" s="8" t="n">
        <f aca="false">SUMIFS(Продажи!$H$2:$H$1000,Продажи!$L$2:$L$1000,$B$2,Продажи!$K$2:$K$1000,12)</f>
        <v>0</v>
      </c>
      <c r="C16" s="8" t="n">
        <f aca="false">SUMIFS(Продажи!$J$2:$J$1000,Продажи!$L$2:$L$1000,$B$2,Продажи!$K$2:$K$1000,12)</f>
        <v>0</v>
      </c>
      <c r="D16" s="7" t="n">
        <f aca="false">COUNTIFS(Продажи!$L$2:$L$1000,$B$2,Продажи!$K$2:$K$1000,12)</f>
        <v>0</v>
      </c>
      <c r="E16" s="15" t="n">
        <f aca="false">IF(B16=0,0,C16/B16)</f>
        <v>0</v>
      </c>
    </row>
    <row r="17" customFormat="false" ht="15" hidden="false" customHeight="false" outlineLevel="0" collapsed="false">
      <c r="A17" s="16" t="s">
        <v>88</v>
      </c>
      <c r="B17" s="17" t="n">
        <f aca="false">SUM(B5:B16)</f>
        <v>870500</v>
      </c>
      <c r="C17" s="17" t="n">
        <f aca="false">SUM(C5:C16)</f>
        <v>343500</v>
      </c>
      <c r="D17" s="16" t="n">
        <f aca="false">SUM(D5:D16)</f>
        <v>8</v>
      </c>
      <c r="E17" s="18" t="n">
        <f aca="false">IF(B17=0,0,C17/B17)</f>
        <v>0.394600804135554</v>
      </c>
    </row>
    <row r="19" customFormat="false" ht="15" hidden="false" customHeight="false" outlineLevel="0" collapsed="false">
      <c r="A19" s="13" t="s">
        <v>89</v>
      </c>
      <c r="G19" s="13" t="s">
        <v>90</v>
      </c>
    </row>
    <row r="20" customFormat="false" ht="30" hidden="false" customHeight="true" outlineLevel="0" collapsed="false">
      <c r="A20" s="4" t="s">
        <v>91</v>
      </c>
      <c r="B20" s="4" t="s">
        <v>92</v>
      </c>
      <c r="C20" s="4" t="s">
        <v>73</v>
      </c>
      <c r="D20" s="4" t="s">
        <v>30</v>
      </c>
      <c r="E20" s="4" t="s">
        <v>93</v>
      </c>
      <c r="G20" s="4" t="s">
        <v>23</v>
      </c>
      <c r="H20" s="4" t="s">
        <v>94</v>
      </c>
      <c r="I20" s="4" t="s">
        <v>73</v>
      </c>
      <c r="J20" s="4" t="s">
        <v>93</v>
      </c>
    </row>
    <row r="21" customFormat="false" ht="15" hidden="false" customHeight="false" outlineLevel="0" collapsed="false">
      <c r="A21" s="7" t="str">
        <f aca="false">IF(Товары!A2="","",Товары!B2)</f>
        <v>Товар 1</v>
      </c>
      <c r="B21" s="7" t="n">
        <f aca="false">IF(Товары!A2="","",SUMIFS(Продажи!$F$2:$F$1000,Продажи!$D$2:$D$1000,Товары!A2,Продажи!$L$2:$L$1000,$B$2))</f>
        <v>20</v>
      </c>
      <c r="C21" s="8" t="n">
        <f aca="false">IF(Товары!A2="","",SUMIFS(Продажи!$H$2:$H$1000,Продажи!$D$2:$D$1000,Товары!A2,Продажи!$L$2:$L$1000,$B$2))</f>
        <v>300000</v>
      </c>
      <c r="D21" s="8" t="n">
        <f aca="false">IF(Товары!A2="","",SUMIFS(Продажи!$J$2:$J$1000,Продажи!$D$2:$D$1000,Товары!A2,Продажи!$L$2:$L$1000,$B$2))</f>
        <v>120000</v>
      </c>
      <c r="E21" s="7" t="n">
        <f aca="false">IF(C21="","",RANK(C21,$C$21:$C$50))</f>
        <v>1</v>
      </c>
      <c r="G21" s="7" t="str">
        <f aca="false">IF(Клиенты!A2="","",Клиенты!A2)</f>
        <v>ТОО «Альфа»</v>
      </c>
      <c r="H21" s="7" t="n">
        <f aca="false">IF(Клиенты!A2="","",COUNTIFS(Продажи!$C$2:$C$1000,Клиенты!A2,Продажи!$L$2:$L$1000,$B$2))</f>
        <v>3</v>
      </c>
      <c r="I21" s="8" t="n">
        <f aca="false">IF(Клиенты!A2="","",SUMIFS(Продажи!$H$2:$H$1000,Продажи!$C$2:$C$1000,Клиенты!A2,Продажи!$L$2:$L$1000,$B$2))</f>
        <v>260500</v>
      </c>
      <c r="J21" s="7" t="n">
        <f aca="false">IF(I21="","",RANK(I21,$I$21:$I$50))</f>
        <v>2</v>
      </c>
    </row>
    <row r="22" customFormat="false" ht="15" hidden="false" customHeight="false" outlineLevel="0" collapsed="false">
      <c r="A22" s="7" t="str">
        <f aca="false">IF(Товары!A3="","",Товары!B3)</f>
        <v>Товар 2</v>
      </c>
      <c r="B22" s="7" t="n">
        <f aca="false">IF(Товары!A3="","",SUMIFS(Продажи!$F$2:$F$1000,Продажи!$D$2:$D$1000,Товары!A3,Продажи!$L$2:$L$1000,$B$2))</f>
        <v>13</v>
      </c>
      <c r="C22" s="8" t="n">
        <f aca="false">IF(Товары!A3="","",SUMIFS(Продажи!$H$2:$H$1000,Продажи!$D$2:$D$1000,Товары!A3,Продажи!$L$2:$L$1000,$B$2))</f>
        <v>110500</v>
      </c>
      <c r="D22" s="8" t="n">
        <f aca="false">IF(Товары!A3="","",SUMIFS(Продажи!$J$2:$J$1000,Продажи!$D$2:$D$1000,Товары!A3,Продажи!$L$2:$L$1000,$B$2))</f>
        <v>45500</v>
      </c>
      <c r="E22" s="7" t="n">
        <f aca="false">IF(C22="","",RANK(C22,$C$21:$C$50))</f>
        <v>4</v>
      </c>
      <c r="G22" s="7" t="str">
        <f aca="false">IF(Клиенты!A3="","",Клиенты!A3)</f>
        <v>ТОО «Бета»</v>
      </c>
      <c r="H22" s="7" t="n">
        <f aca="false">IF(Клиенты!A3="","",COUNTIFS(Продажи!$C$2:$C$1000,Клиенты!A3,Продажи!$L$2:$L$1000,$B$2))</f>
        <v>2</v>
      </c>
      <c r="I22" s="8" t="n">
        <f aca="false">IF(Клиенты!A3="","",SUMIFS(Продажи!$H$2:$H$1000,Продажи!$C$2:$C$1000,Клиенты!A3,Продажи!$L$2:$L$1000,$B$2))</f>
        <v>156000</v>
      </c>
      <c r="J22" s="7" t="n">
        <f aca="false">IF(I22="","",RANK(I22,$I$21:$I$50))</f>
        <v>3</v>
      </c>
    </row>
    <row r="23" customFormat="false" ht="15" hidden="false" customHeight="false" outlineLevel="0" collapsed="false">
      <c r="A23" s="7" t="str">
        <f aca="false">IF(Товары!A4="","",Товары!B4)</f>
        <v>Товар 3</v>
      </c>
      <c r="B23" s="7" t="n">
        <f aca="false">IF(Товары!A4="","",SUMIFS(Продажи!$F$2:$F$1000,Продажи!$D$2:$D$1000,Товары!A4,Продажи!$L$2:$L$1000,$B$2))</f>
        <v>50</v>
      </c>
      <c r="C23" s="8" t="n">
        <f aca="false">IF(Товары!A4="","",SUMIFS(Продажи!$H$2:$H$1000,Продажи!$D$2:$D$1000,Товары!A4,Продажи!$L$2:$L$1000,$B$2))</f>
        <v>160000</v>
      </c>
      <c r="D23" s="8" t="n">
        <f aca="false">IF(Товары!A4="","",SUMIFS(Продажи!$J$2:$J$1000,Продажи!$D$2:$D$1000,Товары!A4,Продажи!$L$2:$L$1000,$B$2))</f>
        <v>70000</v>
      </c>
      <c r="E23" s="7" t="n">
        <f aca="false">IF(C23="","",RANK(C23,$C$21:$C$50))</f>
        <v>3</v>
      </c>
      <c r="G23" s="7" t="str">
        <f aca="false">IF(Клиенты!A4="","",Клиенты!A4)</f>
        <v>ИП Нурланов</v>
      </c>
      <c r="H23" s="7" t="n">
        <f aca="false">IF(Клиенты!A4="","",COUNTIFS(Продажи!$C$2:$C$1000,Клиенты!A4,Продажи!$L$2:$L$1000,$B$2))</f>
        <v>3</v>
      </c>
      <c r="I23" s="8" t="n">
        <f aca="false">IF(Клиенты!A4="","",SUMIFS(Продажи!$H$2:$H$1000,Продажи!$C$2:$C$1000,Клиенты!A4,Продажи!$L$2:$L$1000,$B$2))</f>
        <v>454000</v>
      </c>
      <c r="J23" s="7" t="n">
        <f aca="false">IF(I23="","",RANK(I23,$I$21:$I$50))</f>
        <v>1</v>
      </c>
    </row>
    <row r="24" customFormat="false" ht="15" hidden="false" customHeight="false" outlineLevel="0" collapsed="false">
      <c r="A24" s="7" t="str">
        <f aca="false">IF(Товары!A5="","",Товары!B5)</f>
        <v>Товар 4</v>
      </c>
      <c r="B24" s="7" t="n">
        <f aca="false">IF(Товары!A5="","",SUMIFS(Продажи!$F$2:$F$1000,Продажи!$D$2:$D$1000,Товары!A5,Продажи!$L$2:$L$1000,$B$2))</f>
        <v>12</v>
      </c>
      <c r="C24" s="8" t="n">
        <f aca="false">IF(Товары!A5="","",SUMIFS(Продажи!$H$2:$H$1000,Продажи!$D$2:$D$1000,Товары!A5,Продажи!$L$2:$L$1000,$B$2))</f>
        <v>300000</v>
      </c>
      <c r="D24" s="8" t="n">
        <f aca="false">IF(Товары!A5="","",SUMIFS(Продажи!$J$2:$J$1000,Продажи!$D$2:$D$1000,Товары!A5,Продажи!$L$2:$L$1000,$B$2))</f>
        <v>108000</v>
      </c>
      <c r="E24" s="7" t="n">
        <f aca="false">IF(C24="","",RANK(C24,$C$21:$C$50))</f>
        <v>1</v>
      </c>
      <c r="G24" s="7" t="str">
        <f aca="false">IF(Клиенты!A5="","",Клиенты!A5)</f>
        <v/>
      </c>
      <c r="H24" s="7" t="str">
        <f aca="false">IF(Клиенты!A5="","",COUNTIFS(Продажи!$C$2:$C$1000,Клиенты!A5,Продажи!$L$2:$L$1000,$B$2))</f>
        <v/>
      </c>
      <c r="I24" s="8" t="str">
        <f aca="false">IF(Клиенты!A5="","",SUMIFS(Продажи!$H$2:$H$1000,Продажи!$C$2:$C$1000,Клиенты!A5,Продажи!$L$2:$L$1000,$B$2))</f>
        <v/>
      </c>
      <c r="J24" s="7" t="str">
        <f aca="false">IF(I24="","",RANK(I24,$I$21:$I$50))</f>
        <v/>
      </c>
    </row>
    <row r="25" customFormat="false" ht="15" hidden="false" customHeight="false" outlineLevel="0" collapsed="false">
      <c r="A25" s="7" t="str">
        <f aca="false">IF(Товары!A6="","",Товары!B6)</f>
        <v/>
      </c>
      <c r="B25" s="7" t="str">
        <f aca="false">IF(Товары!A6="","",SUMIFS(Продажи!$F$2:$F$1000,Продажи!$D$2:$D$1000,Товары!A6,Продажи!$L$2:$L$1000,$B$2))</f>
        <v/>
      </c>
      <c r="C25" s="8" t="str">
        <f aca="false">IF(Товары!A6="","",SUMIFS(Продажи!$H$2:$H$1000,Продажи!$D$2:$D$1000,Товары!A6,Продажи!$L$2:$L$1000,$B$2))</f>
        <v/>
      </c>
      <c r="D25" s="8" t="str">
        <f aca="false">IF(Товары!A6="","",SUMIFS(Продажи!$J$2:$J$1000,Продажи!$D$2:$D$1000,Товары!A6,Продажи!$L$2:$L$1000,$B$2))</f>
        <v/>
      </c>
      <c r="E25" s="7" t="str">
        <f aca="false">IF(C25="","",RANK(C25,$C$21:$C$50))</f>
        <v/>
      </c>
      <c r="G25" s="7" t="str">
        <f aca="false">IF(Клиенты!A6="","",Клиенты!A6)</f>
        <v/>
      </c>
      <c r="H25" s="7" t="str">
        <f aca="false">IF(Клиенты!A6="","",COUNTIFS(Продажи!$C$2:$C$1000,Клиенты!A6,Продажи!$L$2:$L$1000,$B$2))</f>
        <v/>
      </c>
      <c r="I25" s="8" t="str">
        <f aca="false">IF(Клиенты!A6="","",SUMIFS(Продажи!$H$2:$H$1000,Продажи!$C$2:$C$1000,Клиенты!A6,Продажи!$L$2:$L$1000,$B$2))</f>
        <v/>
      </c>
      <c r="J25" s="7" t="str">
        <f aca="false">IF(I25="","",RANK(I25,$I$21:$I$50))</f>
        <v/>
      </c>
    </row>
    <row r="26" customFormat="false" ht="15" hidden="false" customHeight="false" outlineLevel="0" collapsed="false">
      <c r="A26" s="7" t="str">
        <f aca="false">IF(Товары!A7="","",Товары!B7)</f>
        <v/>
      </c>
      <c r="B26" s="7" t="str">
        <f aca="false">IF(Товары!A7="","",SUMIFS(Продажи!$F$2:$F$1000,Продажи!$D$2:$D$1000,Товары!A7,Продажи!$L$2:$L$1000,$B$2))</f>
        <v/>
      </c>
      <c r="C26" s="8" t="str">
        <f aca="false">IF(Товары!A7="","",SUMIFS(Продажи!$H$2:$H$1000,Продажи!$D$2:$D$1000,Товары!A7,Продажи!$L$2:$L$1000,$B$2))</f>
        <v/>
      </c>
      <c r="D26" s="8" t="str">
        <f aca="false">IF(Товары!A7="","",SUMIFS(Продажи!$J$2:$J$1000,Продажи!$D$2:$D$1000,Товары!A7,Продажи!$L$2:$L$1000,$B$2))</f>
        <v/>
      </c>
      <c r="E26" s="7" t="str">
        <f aca="false">IF(C26="","",RANK(C26,$C$21:$C$50))</f>
        <v/>
      </c>
      <c r="G26" s="7" t="str">
        <f aca="false">IF(Клиенты!A7="","",Клиенты!A7)</f>
        <v/>
      </c>
      <c r="H26" s="7" t="str">
        <f aca="false">IF(Клиенты!A7="","",COUNTIFS(Продажи!$C$2:$C$1000,Клиенты!A7,Продажи!$L$2:$L$1000,$B$2))</f>
        <v/>
      </c>
      <c r="I26" s="8" t="str">
        <f aca="false">IF(Клиенты!A7="","",SUMIFS(Продажи!$H$2:$H$1000,Продажи!$C$2:$C$1000,Клиенты!A7,Продажи!$L$2:$L$1000,$B$2))</f>
        <v/>
      </c>
      <c r="J26" s="7" t="str">
        <f aca="false">IF(I26="","",RANK(I26,$I$21:$I$50))</f>
        <v/>
      </c>
    </row>
    <row r="27" customFormat="false" ht="15" hidden="false" customHeight="false" outlineLevel="0" collapsed="false">
      <c r="A27" s="7" t="str">
        <f aca="false">IF(Товары!A8="","",Товары!B8)</f>
        <v/>
      </c>
      <c r="B27" s="7" t="str">
        <f aca="false">IF(Товары!A8="","",SUMIFS(Продажи!$F$2:$F$1000,Продажи!$D$2:$D$1000,Товары!A8,Продажи!$L$2:$L$1000,$B$2))</f>
        <v/>
      </c>
      <c r="C27" s="8" t="str">
        <f aca="false">IF(Товары!A8="","",SUMIFS(Продажи!$H$2:$H$1000,Продажи!$D$2:$D$1000,Товары!A8,Продажи!$L$2:$L$1000,$B$2))</f>
        <v/>
      </c>
      <c r="D27" s="8" t="str">
        <f aca="false">IF(Товары!A8="","",SUMIFS(Продажи!$J$2:$J$1000,Продажи!$D$2:$D$1000,Товары!A8,Продажи!$L$2:$L$1000,$B$2))</f>
        <v/>
      </c>
      <c r="E27" s="7" t="str">
        <f aca="false">IF(C27="","",RANK(C27,$C$21:$C$50))</f>
        <v/>
      </c>
      <c r="G27" s="7" t="str">
        <f aca="false">IF(Клиенты!A8="","",Клиенты!A8)</f>
        <v/>
      </c>
      <c r="H27" s="7" t="str">
        <f aca="false">IF(Клиенты!A8="","",COUNTIFS(Продажи!$C$2:$C$1000,Клиенты!A8,Продажи!$L$2:$L$1000,$B$2))</f>
        <v/>
      </c>
      <c r="I27" s="8" t="str">
        <f aca="false">IF(Клиенты!A8="","",SUMIFS(Продажи!$H$2:$H$1000,Продажи!$C$2:$C$1000,Клиенты!A8,Продажи!$L$2:$L$1000,$B$2))</f>
        <v/>
      </c>
      <c r="J27" s="7" t="str">
        <f aca="false">IF(I27="","",RANK(I27,$I$21:$I$50))</f>
        <v/>
      </c>
    </row>
    <row r="28" customFormat="false" ht="15" hidden="false" customHeight="false" outlineLevel="0" collapsed="false">
      <c r="A28" s="7" t="str">
        <f aca="false">IF(Товары!A9="","",Товары!B9)</f>
        <v/>
      </c>
      <c r="B28" s="7" t="str">
        <f aca="false">IF(Товары!A9="","",SUMIFS(Продажи!$F$2:$F$1000,Продажи!$D$2:$D$1000,Товары!A9,Продажи!$L$2:$L$1000,$B$2))</f>
        <v/>
      </c>
      <c r="C28" s="8" t="str">
        <f aca="false">IF(Товары!A9="","",SUMIFS(Продажи!$H$2:$H$1000,Продажи!$D$2:$D$1000,Товары!A9,Продажи!$L$2:$L$1000,$B$2))</f>
        <v/>
      </c>
      <c r="D28" s="8" t="str">
        <f aca="false">IF(Товары!A9="","",SUMIFS(Продажи!$J$2:$J$1000,Продажи!$D$2:$D$1000,Товары!A9,Продажи!$L$2:$L$1000,$B$2))</f>
        <v/>
      </c>
      <c r="E28" s="7" t="str">
        <f aca="false">IF(C28="","",RANK(C28,$C$21:$C$50))</f>
        <v/>
      </c>
      <c r="G28" s="7" t="str">
        <f aca="false">IF(Клиенты!A9="","",Клиенты!A9)</f>
        <v/>
      </c>
      <c r="H28" s="7" t="str">
        <f aca="false">IF(Клиенты!A9="","",COUNTIFS(Продажи!$C$2:$C$1000,Клиенты!A9,Продажи!$L$2:$L$1000,$B$2))</f>
        <v/>
      </c>
      <c r="I28" s="8" t="str">
        <f aca="false">IF(Клиенты!A9="","",SUMIFS(Продажи!$H$2:$H$1000,Продажи!$C$2:$C$1000,Клиенты!A9,Продажи!$L$2:$L$1000,$B$2))</f>
        <v/>
      </c>
      <c r="J28" s="7" t="str">
        <f aca="false">IF(I28="","",RANK(I28,$I$21:$I$50))</f>
        <v/>
      </c>
    </row>
    <row r="29" customFormat="false" ht="15" hidden="false" customHeight="false" outlineLevel="0" collapsed="false">
      <c r="A29" s="7" t="str">
        <f aca="false">IF(Товары!A10="","",Товары!B10)</f>
        <v/>
      </c>
      <c r="B29" s="7" t="str">
        <f aca="false">IF(Товары!A10="","",SUMIFS(Продажи!$F$2:$F$1000,Продажи!$D$2:$D$1000,Товары!A10,Продажи!$L$2:$L$1000,$B$2))</f>
        <v/>
      </c>
      <c r="C29" s="8" t="str">
        <f aca="false">IF(Товары!A10="","",SUMIFS(Продажи!$H$2:$H$1000,Продажи!$D$2:$D$1000,Товары!A10,Продажи!$L$2:$L$1000,$B$2))</f>
        <v/>
      </c>
      <c r="D29" s="8" t="str">
        <f aca="false">IF(Товары!A10="","",SUMIFS(Продажи!$J$2:$J$1000,Продажи!$D$2:$D$1000,Товары!A10,Продажи!$L$2:$L$1000,$B$2))</f>
        <v/>
      </c>
      <c r="E29" s="7" t="str">
        <f aca="false">IF(C29="","",RANK(C29,$C$21:$C$50))</f>
        <v/>
      </c>
      <c r="G29" s="7" t="str">
        <f aca="false">IF(Клиенты!A10="","",Клиенты!A10)</f>
        <v/>
      </c>
      <c r="H29" s="7" t="str">
        <f aca="false">IF(Клиенты!A10="","",COUNTIFS(Продажи!$C$2:$C$1000,Клиенты!A10,Продажи!$L$2:$L$1000,$B$2))</f>
        <v/>
      </c>
      <c r="I29" s="8" t="str">
        <f aca="false">IF(Клиенты!A10="","",SUMIFS(Продажи!$H$2:$H$1000,Продажи!$C$2:$C$1000,Клиенты!A10,Продажи!$L$2:$L$1000,$B$2))</f>
        <v/>
      </c>
      <c r="J29" s="7" t="str">
        <f aca="false">IF(I29="","",RANK(I29,$I$21:$I$50))</f>
        <v/>
      </c>
    </row>
    <row r="30" customFormat="false" ht="15" hidden="false" customHeight="false" outlineLevel="0" collapsed="false">
      <c r="A30" s="7" t="str">
        <f aca="false">IF(Товары!A11="","",Товары!B11)</f>
        <v/>
      </c>
      <c r="B30" s="7" t="str">
        <f aca="false">IF(Товары!A11="","",SUMIFS(Продажи!$F$2:$F$1000,Продажи!$D$2:$D$1000,Товары!A11,Продажи!$L$2:$L$1000,$B$2))</f>
        <v/>
      </c>
      <c r="C30" s="8" t="str">
        <f aca="false">IF(Товары!A11="","",SUMIFS(Продажи!$H$2:$H$1000,Продажи!$D$2:$D$1000,Товары!A11,Продажи!$L$2:$L$1000,$B$2))</f>
        <v/>
      </c>
      <c r="D30" s="8" t="str">
        <f aca="false">IF(Товары!A11="","",SUMIFS(Продажи!$J$2:$J$1000,Продажи!$D$2:$D$1000,Товары!A11,Продажи!$L$2:$L$1000,$B$2))</f>
        <v/>
      </c>
      <c r="E30" s="7" t="str">
        <f aca="false">IF(C30="","",RANK(C30,$C$21:$C$50))</f>
        <v/>
      </c>
      <c r="G30" s="7" t="str">
        <f aca="false">IF(Клиенты!A11="","",Клиенты!A11)</f>
        <v/>
      </c>
      <c r="H30" s="7" t="str">
        <f aca="false">IF(Клиенты!A11="","",COUNTIFS(Продажи!$C$2:$C$1000,Клиенты!A11,Продажи!$L$2:$L$1000,$B$2))</f>
        <v/>
      </c>
      <c r="I30" s="8" t="str">
        <f aca="false">IF(Клиенты!A11="","",SUMIFS(Продажи!$H$2:$H$1000,Продажи!$C$2:$C$1000,Клиенты!A11,Продажи!$L$2:$L$1000,$B$2))</f>
        <v/>
      </c>
      <c r="J30" s="7" t="str">
        <f aca="false">IF(I30="","",RANK(I30,$I$21:$I$50))</f>
        <v/>
      </c>
    </row>
    <row r="31" customFormat="false" ht="15" hidden="false" customHeight="false" outlineLevel="0" collapsed="false">
      <c r="A31" s="7" t="str">
        <f aca="false">IF(Товары!A12="","",Товары!B12)</f>
        <v/>
      </c>
      <c r="B31" s="7" t="str">
        <f aca="false">IF(Товары!A12="","",SUMIFS(Продажи!$F$2:$F$1000,Продажи!$D$2:$D$1000,Товары!A12,Продажи!$L$2:$L$1000,$B$2))</f>
        <v/>
      </c>
      <c r="C31" s="8" t="str">
        <f aca="false">IF(Товары!A12="","",SUMIFS(Продажи!$H$2:$H$1000,Продажи!$D$2:$D$1000,Товары!A12,Продажи!$L$2:$L$1000,$B$2))</f>
        <v/>
      </c>
      <c r="D31" s="8" t="str">
        <f aca="false">IF(Товары!A12="","",SUMIFS(Продажи!$J$2:$J$1000,Продажи!$D$2:$D$1000,Товары!A12,Продажи!$L$2:$L$1000,$B$2))</f>
        <v/>
      </c>
      <c r="E31" s="7" t="str">
        <f aca="false">IF(C31="","",RANK(C31,$C$21:$C$50))</f>
        <v/>
      </c>
      <c r="G31" s="7" t="str">
        <f aca="false">IF(Клиенты!A12="","",Клиенты!A12)</f>
        <v/>
      </c>
      <c r="H31" s="7" t="str">
        <f aca="false">IF(Клиенты!A12="","",COUNTIFS(Продажи!$C$2:$C$1000,Клиенты!A12,Продажи!$L$2:$L$1000,$B$2))</f>
        <v/>
      </c>
      <c r="I31" s="8" t="str">
        <f aca="false">IF(Клиенты!A12="","",SUMIFS(Продажи!$H$2:$H$1000,Продажи!$C$2:$C$1000,Клиенты!A12,Продажи!$L$2:$L$1000,$B$2))</f>
        <v/>
      </c>
      <c r="J31" s="7" t="str">
        <f aca="false">IF(I31="","",RANK(I31,$I$21:$I$50))</f>
        <v/>
      </c>
    </row>
    <row r="32" customFormat="false" ht="15" hidden="false" customHeight="false" outlineLevel="0" collapsed="false">
      <c r="A32" s="7" t="str">
        <f aca="false">IF(Товары!A13="","",Товары!B13)</f>
        <v/>
      </c>
      <c r="B32" s="7" t="str">
        <f aca="false">IF(Товары!A13="","",SUMIFS(Продажи!$F$2:$F$1000,Продажи!$D$2:$D$1000,Товары!A13,Продажи!$L$2:$L$1000,$B$2))</f>
        <v/>
      </c>
      <c r="C32" s="8" t="str">
        <f aca="false">IF(Товары!A13="","",SUMIFS(Продажи!$H$2:$H$1000,Продажи!$D$2:$D$1000,Товары!A13,Продажи!$L$2:$L$1000,$B$2))</f>
        <v/>
      </c>
      <c r="D32" s="8" t="str">
        <f aca="false">IF(Товары!A13="","",SUMIFS(Продажи!$J$2:$J$1000,Продажи!$D$2:$D$1000,Товары!A13,Продажи!$L$2:$L$1000,$B$2))</f>
        <v/>
      </c>
      <c r="E32" s="7" t="str">
        <f aca="false">IF(C32="","",RANK(C32,$C$21:$C$50))</f>
        <v/>
      </c>
      <c r="G32" s="7" t="str">
        <f aca="false">IF(Клиенты!A13="","",Клиенты!A13)</f>
        <v/>
      </c>
      <c r="H32" s="7" t="str">
        <f aca="false">IF(Клиенты!A13="","",COUNTIFS(Продажи!$C$2:$C$1000,Клиенты!A13,Продажи!$L$2:$L$1000,$B$2))</f>
        <v/>
      </c>
      <c r="I32" s="8" t="str">
        <f aca="false">IF(Клиенты!A13="","",SUMIFS(Продажи!$H$2:$H$1000,Продажи!$C$2:$C$1000,Клиенты!A13,Продажи!$L$2:$L$1000,$B$2))</f>
        <v/>
      </c>
      <c r="J32" s="7" t="str">
        <f aca="false">IF(I32="","",RANK(I32,$I$21:$I$50))</f>
        <v/>
      </c>
    </row>
    <row r="33" customFormat="false" ht="15" hidden="false" customHeight="false" outlineLevel="0" collapsed="false">
      <c r="A33" s="7" t="str">
        <f aca="false">IF(Товары!A14="","",Товары!B14)</f>
        <v/>
      </c>
      <c r="B33" s="7" t="str">
        <f aca="false">IF(Товары!A14="","",SUMIFS(Продажи!$F$2:$F$1000,Продажи!$D$2:$D$1000,Товары!A14,Продажи!$L$2:$L$1000,$B$2))</f>
        <v/>
      </c>
      <c r="C33" s="8" t="str">
        <f aca="false">IF(Товары!A14="","",SUMIFS(Продажи!$H$2:$H$1000,Продажи!$D$2:$D$1000,Товары!A14,Продажи!$L$2:$L$1000,$B$2))</f>
        <v/>
      </c>
      <c r="D33" s="8" t="str">
        <f aca="false">IF(Товары!A14="","",SUMIFS(Продажи!$J$2:$J$1000,Продажи!$D$2:$D$1000,Товары!A14,Продажи!$L$2:$L$1000,$B$2))</f>
        <v/>
      </c>
      <c r="E33" s="7" t="str">
        <f aca="false">IF(C33="","",RANK(C33,$C$21:$C$50))</f>
        <v/>
      </c>
      <c r="G33" s="7" t="str">
        <f aca="false">IF(Клиенты!A14="","",Клиенты!A14)</f>
        <v/>
      </c>
      <c r="H33" s="7" t="str">
        <f aca="false">IF(Клиенты!A14="","",COUNTIFS(Продажи!$C$2:$C$1000,Клиенты!A14,Продажи!$L$2:$L$1000,$B$2))</f>
        <v/>
      </c>
      <c r="I33" s="8" t="str">
        <f aca="false">IF(Клиенты!A14="","",SUMIFS(Продажи!$H$2:$H$1000,Продажи!$C$2:$C$1000,Клиенты!A14,Продажи!$L$2:$L$1000,$B$2))</f>
        <v/>
      </c>
      <c r="J33" s="7" t="str">
        <f aca="false">IF(I33="","",RANK(I33,$I$21:$I$50))</f>
        <v/>
      </c>
    </row>
    <row r="34" customFormat="false" ht="15" hidden="false" customHeight="false" outlineLevel="0" collapsed="false">
      <c r="A34" s="7" t="str">
        <f aca="false">IF(Товары!A15="","",Товары!B15)</f>
        <v/>
      </c>
      <c r="B34" s="7" t="str">
        <f aca="false">IF(Товары!A15="","",SUMIFS(Продажи!$F$2:$F$1000,Продажи!$D$2:$D$1000,Товары!A15,Продажи!$L$2:$L$1000,$B$2))</f>
        <v/>
      </c>
      <c r="C34" s="8" t="str">
        <f aca="false">IF(Товары!A15="","",SUMIFS(Продажи!$H$2:$H$1000,Продажи!$D$2:$D$1000,Товары!A15,Продажи!$L$2:$L$1000,$B$2))</f>
        <v/>
      </c>
      <c r="D34" s="8" t="str">
        <f aca="false">IF(Товары!A15="","",SUMIFS(Продажи!$J$2:$J$1000,Продажи!$D$2:$D$1000,Товары!A15,Продажи!$L$2:$L$1000,$B$2))</f>
        <v/>
      </c>
      <c r="E34" s="7" t="str">
        <f aca="false">IF(C34="","",RANK(C34,$C$21:$C$50))</f>
        <v/>
      </c>
      <c r="G34" s="7" t="str">
        <f aca="false">IF(Клиенты!A15="","",Клиенты!A15)</f>
        <v/>
      </c>
      <c r="H34" s="7" t="str">
        <f aca="false">IF(Клиенты!A15="","",COUNTIFS(Продажи!$C$2:$C$1000,Клиенты!A15,Продажи!$L$2:$L$1000,$B$2))</f>
        <v/>
      </c>
      <c r="I34" s="8" t="str">
        <f aca="false">IF(Клиенты!A15="","",SUMIFS(Продажи!$H$2:$H$1000,Продажи!$C$2:$C$1000,Клиенты!A15,Продажи!$L$2:$L$1000,$B$2))</f>
        <v/>
      </c>
      <c r="J34" s="7" t="str">
        <f aca="false">IF(I34="","",RANK(I34,$I$21:$I$50))</f>
        <v/>
      </c>
    </row>
    <row r="35" customFormat="false" ht="15" hidden="false" customHeight="false" outlineLevel="0" collapsed="false">
      <c r="A35" s="7" t="str">
        <f aca="false">IF(Товары!A16="","",Товары!B16)</f>
        <v/>
      </c>
      <c r="B35" s="7" t="str">
        <f aca="false">IF(Товары!A16="","",SUMIFS(Продажи!$F$2:$F$1000,Продажи!$D$2:$D$1000,Товары!A16,Продажи!$L$2:$L$1000,$B$2))</f>
        <v/>
      </c>
      <c r="C35" s="8" t="str">
        <f aca="false">IF(Товары!A16="","",SUMIFS(Продажи!$H$2:$H$1000,Продажи!$D$2:$D$1000,Товары!A16,Продажи!$L$2:$L$1000,$B$2))</f>
        <v/>
      </c>
      <c r="D35" s="8" t="str">
        <f aca="false">IF(Товары!A16="","",SUMIFS(Продажи!$J$2:$J$1000,Продажи!$D$2:$D$1000,Товары!A16,Продажи!$L$2:$L$1000,$B$2))</f>
        <v/>
      </c>
      <c r="E35" s="7" t="str">
        <f aca="false">IF(C35="","",RANK(C35,$C$21:$C$50))</f>
        <v/>
      </c>
      <c r="G35" s="7" t="str">
        <f aca="false">IF(Клиенты!A16="","",Клиенты!A16)</f>
        <v/>
      </c>
      <c r="H35" s="7" t="str">
        <f aca="false">IF(Клиенты!A16="","",COUNTIFS(Продажи!$C$2:$C$1000,Клиенты!A16,Продажи!$L$2:$L$1000,$B$2))</f>
        <v/>
      </c>
      <c r="I35" s="8" t="str">
        <f aca="false">IF(Клиенты!A16="","",SUMIFS(Продажи!$H$2:$H$1000,Продажи!$C$2:$C$1000,Клиенты!A16,Продажи!$L$2:$L$1000,$B$2))</f>
        <v/>
      </c>
      <c r="J35" s="7" t="str">
        <f aca="false">IF(I35="","",RANK(I35,$I$21:$I$50))</f>
        <v/>
      </c>
    </row>
    <row r="36" customFormat="false" ht="15" hidden="false" customHeight="false" outlineLevel="0" collapsed="false">
      <c r="A36" s="7" t="str">
        <f aca="false">IF(Товары!A17="","",Товары!B17)</f>
        <v/>
      </c>
      <c r="B36" s="7" t="str">
        <f aca="false">IF(Товары!A17="","",SUMIFS(Продажи!$F$2:$F$1000,Продажи!$D$2:$D$1000,Товары!A17,Продажи!$L$2:$L$1000,$B$2))</f>
        <v/>
      </c>
      <c r="C36" s="8" t="str">
        <f aca="false">IF(Товары!A17="","",SUMIFS(Продажи!$H$2:$H$1000,Продажи!$D$2:$D$1000,Товары!A17,Продажи!$L$2:$L$1000,$B$2))</f>
        <v/>
      </c>
      <c r="D36" s="8" t="str">
        <f aca="false">IF(Товары!A17="","",SUMIFS(Продажи!$J$2:$J$1000,Продажи!$D$2:$D$1000,Товары!A17,Продажи!$L$2:$L$1000,$B$2))</f>
        <v/>
      </c>
      <c r="E36" s="7" t="str">
        <f aca="false">IF(C36="","",RANK(C36,$C$21:$C$50))</f>
        <v/>
      </c>
      <c r="G36" s="7" t="str">
        <f aca="false">IF(Клиенты!A17="","",Клиенты!A17)</f>
        <v/>
      </c>
      <c r="H36" s="7" t="str">
        <f aca="false">IF(Клиенты!A17="","",COUNTIFS(Продажи!$C$2:$C$1000,Клиенты!A17,Продажи!$L$2:$L$1000,$B$2))</f>
        <v/>
      </c>
      <c r="I36" s="8" t="str">
        <f aca="false">IF(Клиенты!A17="","",SUMIFS(Продажи!$H$2:$H$1000,Продажи!$C$2:$C$1000,Клиенты!A17,Продажи!$L$2:$L$1000,$B$2))</f>
        <v/>
      </c>
      <c r="J36" s="7" t="str">
        <f aca="false">IF(I36="","",RANK(I36,$I$21:$I$50))</f>
        <v/>
      </c>
    </row>
    <row r="37" customFormat="false" ht="15" hidden="false" customHeight="false" outlineLevel="0" collapsed="false">
      <c r="A37" s="7" t="str">
        <f aca="false">IF(Товары!A18="","",Товары!B18)</f>
        <v/>
      </c>
      <c r="B37" s="7" t="str">
        <f aca="false">IF(Товары!A18="","",SUMIFS(Продажи!$F$2:$F$1000,Продажи!$D$2:$D$1000,Товары!A18,Продажи!$L$2:$L$1000,$B$2))</f>
        <v/>
      </c>
      <c r="C37" s="8" t="str">
        <f aca="false">IF(Товары!A18="","",SUMIFS(Продажи!$H$2:$H$1000,Продажи!$D$2:$D$1000,Товары!A18,Продажи!$L$2:$L$1000,$B$2))</f>
        <v/>
      </c>
      <c r="D37" s="8" t="str">
        <f aca="false">IF(Товары!A18="","",SUMIFS(Продажи!$J$2:$J$1000,Продажи!$D$2:$D$1000,Товары!A18,Продажи!$L$2:$L$1000,$B$2))</f>
        <v/>
      </c>
      <c r="E37" s="7" t="str">
        <f aca="false">IF(C37="","",RANK(C37,$C$21:$C$50))</f>
        <v/>
      </c>
      <c r="G37" s="7" t="str">
        <f aca="false">IF(Клиенты!A18="","",Клиенты!A18)</f>
        <v/>
      </c>
      <c r="H37" s="7" t="str">
        <f aca="false">IF(Клиенты!A18="","",COUNTIFS(Продажи!$C$2:$C$1000,Клиенты!A18,Продажи!$L$2:$L$1000,$B$2))</f>
        <v/>
      </c>
      <c r="I37" s="8" t="str">
        <f aca="false">IF(Клиенты!A18="","",SUMIFS(Продажи!$H$2:$H$1000,Продажи!$C$2:$C$1000,Клиенты!A18,Продажи!$L$2:$L$1000,$B$2))</f>
        <v/>
      </c>
      <c r="J37" s="7" t="str">
        <f aca="false">IF(I37="","",RANK(I37,$I$21:$I$50))</f>
        <v/>
      </c>
    </row>
    <row r="38" customFormat="false" ht="15" hidden="false" customHeight="false" outlineLevel="0" collapsed="false">
      <c r="A38" s="7" t="str">
        <f aca="false">IF(Товары!A19="","",Товары!B19)</f>
        <v/>
      </c>
      <c r="B38" s="7" t="str">
        <f aca="false">IF(Товары!A19="","",SUMIFS(Продажи!$F$2:$F$1000,Продажи!$D$2:$D$1000,Товары!A19,Продажи!$L$2:$L$1000,$B$2))</f>
        <v/>
      </c>
      <c r="C38" s="8" t="str">
        <f aca="false">IF(Товары!A19="","",SUMIFS(Продажи!$H$2:$H$1000,Продажи!$D$2:$D$1000,Товары!A19,Продажи!$L$2:$L$1000,$B$2))</f>
        <v/>
      </c>
      <c r="D38" s="8" t="str">
        <f aca="false">IF(Товары!A19="","",SUMIFS(Продажи!$J$2:$J$1000,Продажи!$D$2:$D$1000,Товары!A19,Продажи!$L$2:$L$1000,$B$2))</f>
        <v/>
      </c>
      <c r="E38" s="7" t="str">
        <f aca="false">IF(C38="","",RANK(C38,$C$21:$C$50))</f>
        <v/>
      </c>
      <c r="G38" s="7" t="str">
        <f aca="false">IF(Клиенты!A19="","",Клиенты!A19)</f>
        <v/>
      </c>
      <c r="H38" s="7" t="str">
        <f aca="false">IF(Клиенты!A19="","",COUNTIFS(Продажи!$C$2:$C$1000,Клиенты!A19,Продажи!$L$2:$L$1000,$B$2))</f>
        <v/>
      </c>
      <c r="I38" s="8" t="str">
        <f aca="false">IF(Клиенты!A19="","",SUMIFS(Продажи!$H$2:$H$1000,Продажи!$C$2:$C$1000,Клиенты!A19,Продажи!$L$2:$L$1000,$B$2))</f>
        <v/>
      </c>
      <c r="J38" s="7" t="str">
        <f aca="false">IF(I38="","",RANK(I38,$I$21:$I$50))</f>
        <v/>
      </c>
    </row>
    <row r="39" customFormat="false" ht="15" hidden="false" customHeight="false" outlineLevel="0" collapsed="false">
      <c r="A39" s="7" t="str">
        <f aca="false">IF(Товары!A20="","",Товары!B20)</f>
        <v/>
      </c>
      <c r="B39" s="7" t="str">
        <f aca="false">IF(Товары!A20="","",SUMIFS(Продажи!$F$2:$F$1000,Продажи!$D$2:$D$1000,Товары!A20,Продажи!$L$2:$L$1000,$B$2))</f>
        <v/>
      </c>
      <c r="C39" s="8" t="str">
        <f aca="false">IF(Товары!A20="","",SUMIFS(Продажи!$H$2:$H$1000,Продажи!$D$2:$D$1000,Товары!A20,Продажи!$L$2:$L$1000,$B$2))</f>
        <v/>
      </c>
      <c r="D39" s="8" t="str">
        <f aca="false">IF(Товары!A20="","",SUMIFS(Продажи!$J$2:$J$1000,Продажи!$D$2:$D$1000,Товары!A20,Продажи!$L$2:$L$1000,$B$2))</f>
        <v/>
      </c>
      <c r="E39" s="7" t="str">
        <f aca="false">IF(C39="","",RANK(C39,$C$21:$C$50))</f>
        <v/>
      </c>
      <c r="G39" s="7" t="str">
        <f aca="false">IF(Клиенты!A20="","",Клиенты!A20)</f>
        <v/>
      </c>
      <c r="H39" s="7" t="str">
        <f aca="false">IF(Клиенты!A20="","",COUNTIFS(Продажи!$C$2:$C$1000,Клиенты!A20,Продажи!$L$2:$L$1000,$B$2))</f>
        <v/>
      </c>
      <c r="I39" s="8" t="str">
        <f aca="false">IF(Клиенты!A20="","",SUMIFS(Продажи!$H$2:$H$1000,Продажи!$C$2:$C$1000,Клиенты!A20,Продажи!$L$2:$L$1000,$B$2))</f>
        <v/>
      </c>
      <c r="J39" s="7" t="str">
        <f aca="false">IF(I39="","",RANK(I39,$I$21:$I$50))</f>
        <v/>
      </c>
    </row>
    <row r="40" customFormat="false" ht="15" hidden="false" customHeight="false" outlineLevel="0" collapsed="false">
      <c r="A40" s="7" t="str">
        <f aca="false">IF(Товары!A21="","",Товары!B21)</f>
        <v/>
      </c>
      <c r="B40" s="7" t="str">
        <f aca="false">IF(Товары!A21="","",SUMIFS(Продажи!$F$2:$F$1000,Продажи!$D$2:$D$1000,Товары!A21,Продажи!$L$2:$L$1000,$B$2))</f>
        <v/>
      </c>
      <c r="C40" s="8" t="str">
        <f aca="false">IF(Товары!A21="","",SUMIFS(Продажи!$H$2:$H$1000,Продажи!$D$2:$D$1000,Товары!A21,Продажи!$L$2:$L$1000,$B$2))</f>
        <v/>
      </c>
      <c r="D40" s="8" t="str">
        <f aca="false">IF(Товары!A21="","",SUMIFS(Продажи!$J$2:$J$1000,Продажи!$D$2:$D$1000,Товары!A21,Продажи!$L$2:$L$1000,$B$2))</f>
        <v/>
      </c>
      <c r="E40" s="7" t="str">
        <f aca="false">IF(C40="","",RANK(C40,$C$21:$C$50))</f>
        <v/>
      </c>
      <c r="G40" s="7" t="str">
        <f aca="false">IF(Клиенты!A21="","",Клиенты!A21)</f>
        <v/>
      </c>
      <c r="H40" s="7" t="str">
        <f aca="false">IF(Клиенты!A21="","",COUNTIFS(Продажи!$C$2:$C$1000,Клиенты!A21,Продажи!$L$2:$L$1000,$B$2))</f>
        <v/>
      </c>
      <c r="I40" s="8" t="str">
        <f aca="false">IF(Клиенты!A21="","",SUMIFS(Продажи!$H$2:$H$1000,Продажи!$C$2:$C$1000,Клиенты!A21,Продажи!$L$2:$L$1000,$B$2))</f>
        <v/>
      </c>
      <c r="J40" s="7" t="str">
        <f aca="false">IF(I40="","",RANK(I40,$I$21:$I$50))</f>
        <v/>
      </c>
    </row>
    <row r="41" customFormat="false" ht="15" hidden="false" customHeight="false" outlineLevel="0" collapsed="false">
      <c r="A41" s="7" t="str">
        <f aca="false">IF(Товары!A22="","",Товары!B22)</f>
        <v/>
      </c>
      <c r="B41" s="7" t="str">
        <f aca="false">IF(Товары!A22="","",SUMIFS(Продажи!$F$2:$F$1000,Продажи!$D$2:$D$1000,Товары!A22,Продажи!$L$2:$L$1000,$B$2))</f>
        <v/>
      </c>
      <c r="C41" s="8" t="str">
        <f aca="false">IF(Товары!A22="","",SUMIFS(Продажи!$H$2:$H$1000,Продажи!$D$2:$D$1000,Товары!A22,Продажи!$L$2:$L$1000,$B$2))</f>
        <v/>
      </c>
      <c r="D41" s="8" t="str">
        <f aca="false">IF(Товары!A22="","",SUMIFS(Продажи!$J$2:$J$1000,Продажи!$D$2:$D$1000,Товары!A22,Продажи!$L$2:$L$1000,$B$2))</f>
        <v/>
      </c>
      <c r="E41" s="7" t="str">
        <f aca="false">IF(C41="","",RANK(C41,$C$21:$C$50))</f>
        <v/>
      </c>
      <c r="G41" s="7" t="str">
        <f aca="false">IF(Клиенты!A22="","",Клиенты!A22)</f>
        <v/>
      </c>
      <c r="H41" s="7" t="str">
        <f aca="false">IF(Клиенты!A22="","",COUNTIFS(Продажи!$C$2:$C$1000,Клиенты!A22,Продажи!$L$2:$L$1000,$B$2))</f>
        <v/>
      </c>
      <c r="I41" s="8" t="str">
        <f aca="false">IF(Клиенты!A22="","",SUMIFS(Продажи!$H$2:$H$1000,Продажи!$C$2:$C$1000,Клиенты!A22,Продажи!$L$2:$L$1000,$B$2))</f>
        <v/>
      </c>
      <c r="J41" s="7" t="str">
        <f aca="false">IF(I41="","",RANK(I41,$I$21:$I$50))</f>
        <v/>
      </c>
    </row>
    <row r="42" customFormat="false" ht="15" hidden="false" customHeight="false" outlineLevel="0" collapsed="false">
      <c r="A42" s="7" t="str">
        <f aca="false">IF(Товары!A23="","",Товары!B23)</f>
        <v/>
      </c>
      <c r="B42" s="7" t="str">
        <f aca="false">IF(Товары!A23="","",SUMIFS(Продажи!$F$2:$F$1000,Продажи!$D$2:$D$1000,Товары!A23,Продажи!$L$2:$L$1000,$B$2))</f>
        <v/>
      </c>
      <c r="C42" s="8" t="str">
        <f aca="false">IF(Товары!A23="","",SUMIFS(Продажи!$H$2:$H$1000,Продажи!$D$2:$D$1000,Товары!A23,Продажи!$L$2:$L$1000,$B$2))</f>
        <v/>
      </c>
      <c r="D42" s="8" t="str">
        <f aca="false">IF(Товары!A23="","",SUMIFS(Продажи!$J$2:$J$1000,Продажи!$D$2:$D$1000,Товары!A23,Продажи!$L$2:$L$1000,$B$2))</f>
        <v/>
      </c>
      <c r="E42" s="7" t="str">
        <f aca="false">IF(C42="","",RANK(C42,$C$21:$C$50))</f>
        <v/>
      </c>
      <c r="G42" s="7" t="str">
        <f aca="false">IF(Клиенты!A23="","",Клиенты!A23)</f>
        <v/>
      </c>
      <c r="H42" s="7" t="str">
        <f aca="false">IF(Клиенты!A23="","",COUNTIFS(Продажи!$C$2:$C$1000,Клиенты!A23,Продажи!$L$2:$L$1000,$B$2))</f>
        <v/>
      </c>
      <c r="I42" s="8" t="str">
        <f aca="false">IF(Клиенты!A23="","",SUMIFS(Продажи!$H$2:$H$1000,Продажи!$C$2:$C$1000,Клиенты!A23,Продажи!$L$2:$L$1000,$B$2))</f>
        <v/>
      </c>
      <c r="J42" s="7" t="str">
        <f aca="false">IF(I42="","",RANK(I42,$I$21:$I$50))</f>
        <v/>
      </c>
    </row>
    <row r="43" customFormat="false" ht="15" hidden="false" customHeight="false" outlineLevel="0" collapsed="false">
      <c r="A43" s="7" t="str">
        <f aca="false">IF(Товары!A24="","",Товары!B24)</f>
        <v/>
      </c>
      <c r="B43" s="7" t="str">
        <f aca="false">IF(Товары!A24="","",SUMIFS(Продажи!$F$2:$F$1000,Продажи!$D$2:$D$1000,Товары!A24,Продажи!$L$2:$L$1000,$B$2))</f>
        <v/>
      </c>
      <c r="C43" s="8" t="str">
        <f aca="false">IF(Товары!A24="","",SUMIFS(Продажи!$H$2:$H$1000,Продажи!$D$2:$D$1000,Товары!A24,Продажи!$L$2:$L$1000,$B$2))</f>
        <v/>
      </c>
      <c r="D43" s="8" t="str">
        <f aca="false">IF(Товары!A24="","",SUMIFS(Продажи!$J$2:$J$1000,Продажи!$D$2:$D$1000,Товары!A24,Продажи!$L$2:$L$1000,$B$2))</f>
        <v/>
      </c>
      <c r="E43" s="7" t="str">
        <f aca="false">IF(C43="","",RANK(C43,$C$21:$C$50))</f>
        <v/>
      </c>
      <c r="G43" s="7" t="str">
        <f aca="false">IF(Клиенты!A24="","",Клиенты!A24)</f>
        <v/>
      </c>
      <c r="H43" s="7" t="str">
        <f aca="false">IF(Клиенты!A24="","",COUNTIFS(Продажи!$C$2:$C$1000,Клиенты!A24,Продажи!$L$2:$L$1000,$B$2))</f>
        <v/>
      </c>
      <c r="I43" s="8" t="str">
        <f aca="false">IF(Клиенты!A24="","",SUMIFS(Продажи!$H$2:$H$1000,Продажи!$C$2:$C$1000,Клиенты!A24,Продажи!$L$2:$L$1000,$B$2))</f>
        <v/>
      </c>
      <c r="J43" s="7" t="str">
        <f aca="false">IF(I43="","",RANK(I43,$I$21:$I$50))</f>
        <v/>
      </c>
    </row>
    <row r="44" customFormat="false" ht="15" hidden="false" customHeight="false" outlineLevel="0" collapsed="false">
      <c r="A44" s="7" t="str">
        <f aca="false">IF(Товары!A25="","",Товары!B25)</f>
        <v/>
      </c>
      <c r="B44" s="7" t="str">
        <f aca="false">IF(Товары!A25="","",SUMIFS(Продажи!$F$2:$F$1000,Продажи!$D$2:$D$1000,Товары!A25,Продажи!$L$2:$L$1000,$B$2))</f>
        <v/>
      </c>
      <c r="C44" s="8" t="str">
        <f aca="false">IF(Товары!A25="","",SUMIFS(Продажи!$H$2:$H$1000,Продажи!$D$2:$D$1000,Товары!A25,Продажи!$L$2:$L$1000,$B$2))</f>
        <v/>
      </c>
      <c r="D44" s="8" t="str">
        <f aca="false">IF(Товары!A25="","",SUMIFS(Продажи!$J$2:$J$1000,Продажи!$D$2:$D$1000,Товары!A25,Продажи!$L$2:$L$1000,$B$2))</f>
        <v/>
      </c>
      <c r="E44" s="7" t="str">
        <f aca="false">IF(C44="","",RANK(C44,$C$21:$C$50))</f>
        <v/>
      </c>
      <c r="G44" s="7" t="str">
        <f aca="false">IF(Клиенты!A25="","",Клиенты!A25)</f>
        <v/>
      </c>
      <c r="H44" s="7" t="str">
        <f aca="false">IF(Клиенты!A25="","",COUNTIFS(Продажи!$C$2:$C$1000,Клиенты!A25,Продажи!$L$2:$L$1000,$B$2))</f>
        <v/>
      </c>
      <c r="I44" s="8" t="str">
        <f aca="false">IF(Клиенты!A25="","",SUMIFS(Продажи!$H$2:$H$1000,Продажи!$C$2:$C$1000,Клиенты!A25,Продажи!$L$2:$L$1000,$B$2))</f>
        <v/>
      </c>
      <c r="J44" s="7" t="str">
        <f aca="false">IF(I44="","",RANK(I44,$I$21:$I$50))</f>
        <v/>
      </c>
    </row>
    <row r="45" customFormat="false" ht="15" hidden="false" customHeight="false" outlineLevel="0" collapsed="false">
      <c r="A45" s="7" t="str">
        <f aca="false">IF(Товары!A26="","",Товары!B26)</f>
        <v/>
      </c>
      <c r="B45" s="7" t="str">
        <f aca="false">IF(Товары!A26="","",SUMIFS(Продажи!$F$2:$F$1000,Продажи!$D$2:$D$1000,Товары!A26,Продажи!$L$2:$L$1000,$B$2))</f>
        <v/>
      </c>
      <c r="C45" s="8" t="str">
        <f aca="false">IF(Товары!A26="","",SUMIFS(Продажи!$H$2:$H$1000,Продажи!$D$2:$D$1000,Товары!A26,Продажи!$L$2:$L$1000,$B$2))</f>
        <v/>
      </c>
      <c r="D45" s="8" t="str">
        <f aca="false">IF(Товары!A26="","",SUMIFS(Продажи!$J$2:$J$1000,Продажи!$D$2:$D$1000,Товары!A26,Продажи!$L$2:$L$1000,$B$2))</f>
        <v/>
      </c>
      <c r="E45" s="7" t="str">
        <f aca="false">IF(C45="","",RANK(C45,$C$21:$C$50))</f>
        <v/>
      </c>
      <c r="G45" s="7" t="str">
        <f aca="false">IF(Клиенты!A26="","",Клиенты!A26)</f>
        <v/>
      </c>
      <c r="H45" s="7" t="str">
        <f aca="false">IF(Клиенты!A26="","",COUNTIFS(Продажи!$C$2:$C$1000,Клиенты!A26,Продажи!$L$2:$L$1000,$B$2))</f>
        <v/>
      </c>
      <c r="I45" s="8" t="str">
        <f aca="false">IF(Клиенты!A26="","",SUMIFS(Продажи!$H$2:$H$1000,Продажи!$C$2:$C$1000,Клиенты!A26,Продажи!$L$2:$L$1000,$B$2))</f>
        <v/>
      </c>
      <c r="J45" s="7" t="str">
        <f aca="false">IF(I45="","",RANK(I45,$I$21:$I$50))</f>
        <v/>
      </c>
    </row>
    <row r="46" customFormat="false" ht="15" hidden="false" customHeight="false" outlineLevel="0" collapsed="false">
      <c r="A46" s="7" t="str">
        <f aca="false">IF(Товары!A27="","",Товары!B27)</f>
        <v/>
      </c>
      <c r="B46" s="7" t="str">
        <f aca="false">IF(Товары!A27="","",SUMIFS(Продажи!$F$2:$F$1000,Продажи!$D$2:$D$1000,Товары!A27,Продажи!$L$2:$L$1000,$B$2))</f>
        <v/>
      </c>
      <c r="C46" s="8" t="str">
        <f aca="false">IF(Товары!A27="","",SUMIFS(Продажи!$H$2:$H$1000,Продажи!$D$2:$D$1000,Товары!A27,Продажи!$L$2:$L$1000,$B$2))</f>
        <v/>
      </c>
      <c r="D46" s="8" t="str">
        <f aca="false">IF(Товары!A27="","",SUMIFS(Продажи!$J$2:$J$1000,Продажи!$D$2:$D$1000,Товары!A27,Продажи!$L$2:$L$1000,$B$2))</f>
        <v/>
      </c>
      <c r="E46" s="7" t="str">
        <f aca="false">IF(C46="","",RANK(C46,$C$21:$C$50))</f>
        <v/>
      </c>
      <c r="G46" s="7" t="str">
        <f aca="false">IF(Клиенты!A27="","",Клиенты!A27)</f>
        <v/>
      </c>
      <c r="H46" s="7" t="str">
        <f aca="false">IF(Клиенты!A27="","",COUNTIFS(Продажи!$C$2:$C$1000,Клиенты!A27,Продажи!$L$2:$L$1000,$B$2))</f>
        <v/>
      </c>
      <c r="I46" s="8" t="str">
        <f aca="false">IF(Клиенты!A27="","",SUMIFS(Продажи!$H$2:$H$1000,Продажи!$C$2:$C$1000,Клиенты!A27,Продажи!$L$2:$L$1000,$B$2))</f>
        <v/>
      </c>
      <c r="J46" s="7" t="str">
        <f aca="false">IF(I46="","",RANK(I46,$I$21:$I$50))</f>
        <v/>
      </c>
    </row>
    <row r="47" customFormat="false" ht="15" hidden="false" customHeight="false" outlineLevel="0" collapsed="false">
      <c r="A47" s="7" t="str">
        <f aca="false">IF(Товары!A28="","",Товары!B28)</f>
        <v/>
      </c>
      <c r="B47" s="7" t="str">
        <f aca="false">IF(Товары!A28="","",SUMIFS(Продажи!$F$2:$F$1000,Продажи!$D$2:$D$1000,Товары!A28,Продажи!$L$2:$L$1000,$B$2))</f>
        <v/>
      </c>
      <c r="C47" s="8" t="str">
        <f aca="false">IF(Товары!A28="","",SUMIFS(Продажи!$H$2:$H$1000,Продажи!$D$2:$D$1000,Товары!A28,Продажи!$L$2:$L$1000,$B$2))</f>
        <v/>
      </c>
      <c r="D47" s="8" t="str">
        <f aca="false">IF(Товары!A28="","",SUMIFS(Продажи!$J$2:$J$1000,Продажи!$D$2:$D$1000,Товары!A28,Продажи!$L$2:$L$1000,$B$2))</f>
        <v/>
      </c>
      <c r="E47" s="7" t="str">
        <f aca="false">IF(C47="","",RANK(C47,$C$21:$C$50))</f>
        <v/>
      </c>
      <c r="G47" s="7" t="str">
        <f aca="false">IF(Клиенты!A28="","",Клиенты!A28)</f>
        <v/>
      </c>
      <c r="H47" s="7" t="str">
        <f aca="false">IF(Клиенты!A28="","",COUNTIFS(Продажи!$C$2:$C$1000,Клиенты!A28,Продажи!$L$2:$L$1000,$B$2))</f>
        <v/>
      </c>
      <c r="I47" s="8" t="str">
        <f aca="false">IF(Клиенты!A28="","",SUMIFS(Продажи!$H$2:$H$1000,Продажи!$C$2:$C$1000,Клиенты!A28,Продажи!$L$2:$L$1000,$B$2))</f>
        <v/>
      </c>
      <c r="J47" s="7" t="str">
        <f aca="false">IF(I47="","",RANK(I47,$I$21:$I$50))</f>
        <v/>
      </c>
    </row>
    <row r="48" customFormat="false" ht="15" hidden="false" customHeight="false" outlineLevel="0" collapsed="false">
      <c r="A48" s="7" t="str">
        <f aca="false">IF(Товары!A29="","",Товары!B29)</f>
        <v/>
      </c>
      <c r="B48" s="7" t="str">
        <f aca="false">IF(Товары!A29="","",SUMIFS(Продажи!$F$2:$F$1000,Продажи!$D$2:$D$1000,Товары!A29,Продажи!$L$2:$L$1000,$B$2))</f>
        <v/>
      </c>
      <c r="C48" s="8" t="str">
        <f aca="false">IF(Товары!A29="","",SUMIFS(Продажи!$H$2:$H$1000,Продажи!$D$2:$D$1000,Товары!A29,Продажи!$L$2:$L$1000,$B$2))</f>
        <v/>
      </c>
      <c r="D48" s="8" t="str">
        <f aca="false">IF(Товары!A29="","",SUMIFS(Продажи!$J$2:$J$1000,Продажи!$D$2:$D$1000,Товары!A29,Продажи!$L$2:$L$1000,$B$2))</f>
        <v/>
      </c>
      <c r="E48" s="7" t="str">
        <f aca="false">IF(C48="","",RANK(C48,$C$21:$C$50))</f>
        <v/>
      </c>
      <c r="G48" s="7" t="str">
        <f aca="false">IF(Клиенты!A29="","",Клиенты!A29)</f>
        <v/>
      </c>
      <c r="H48" s="7" t="str">
        <f aca="false">IF(Клиенты!A29="","",COUNTIFS(Продажи!$C$2:$C$1000,Клиенты!A29,Продажи!$L$2:$L$1000,$B$2))</f>
        <v/>
      </c>
      <c r="I48" s="8" t="str">
        <f aca="false">IF(Клиенты!A29="","",SUMIFS(Продажи!$H$2:$H$1000,Продажи!$C$2:$C$1000,Клиенты!A29,Продажи!$L$2:$L$1000,$B$2))</f>
        <v/>
      </c>
      <c r="J48" s="7" t="str">
        <f aca="false">IF(I48="","",RANK(I48,$I$21:$I$50))</f>
        <v/>
      </c>
    </row>
    <row r="49" customFormat="false" ht="15" hidden="false" customHeight="false" outlineLevel="0" collapsed="false">
      <c r="A49" s="7" t="str">
        <f aca="false">IF(Товары!A30="","",Товары!B30)</f>
        <v/>
      </c>
      <c r="B49" s="7" t="str">
        <f aca="false">IF(Товары!A30="","",SUMIFS(Продажи!$F$2:$F$1000,Продажи!$D$2:$D$1000,Товары!A30,Продажи!$L$2:$L$1000,$B$2))</f>
        <v/>
      </c>
      <c r="C49" s="8" t="str">
        <f aca="false">IF(Товары!A30="","",SUMIFS(Продажи!$H$2:$H$1000,Продажи!$D$2:$D$1000,Товары!A30,Продажи!$L$2:$L$1000,$B$2))</f>
        <v/>
      </c>
      <c r="D49" s="8" t="str">
        <f aca="false">IF(Товары!A30="","",SUMIFS(Продажи!$J$2:$J$1000,Продажи!$D$2:$D$1000,Товары!A30,Продажи!$L$2:$L$1000,$B$2))</f>
        <v/>
      </c>
      <c r="E49" s="7" t="str">
        <f aca="false">IF(C49="","",RANK(C49,$C$21:$C$50))</f>
        <v/>
      </c>
      <c r="G49" s="7" t="str">
        <f aca="false">IF(Клиенты!A30="","",Клиенты!A30)</f>
        <v/>
      </c>
      <c r="H49" s="7" t="str">
        <f aca="false">IF(Клиенты!A30="","",COUNTIFS(Продажи!$C$2:$C$1000,Клиенты!A30,Продажи!$L$2:$L$1000,$B$2))</f>
        <v/>
      </c>
      <c r="I49" s="8" t="str">
        <f aca="false">IF(Клиенты!A30="","",SUMIFS(Продажи!$H$2:$H$1000,Продажи!$C$2:$C$1000,Клиенты!A30,Продажи!$L$2:$L$1000,$B$2))</f>
        <v/>
      </c>
      <c r="J49" s="7" t="str">
        <f aca="false">IF(I49="","",RANK(I49,$I$21:$I$50))</f>
        <v/>
      </c>
    </row>
    <row r="50" customFormat="false" ht="15" hidden="false" customHeight="false" outlineLevel="0" collapsed="false">
      <c r="A50" s="7" t="str">
        <f aca="false">IF(Товары!A31="","",Товары!B31)</f>
        <v/>
      </c>
      <c r="B50" s="7" t="str">
        <f aca="false">IF(Товары!A31="","",SUMIFS(Продажи!$F$2:$F$1000,Продажи!$D$2:$D$1000,Товары!A31,Продажи!$L$2:$L$1000,$B$2))</f>
        <v/>
      </c>
      <c r="C50" s="8" t="str">
        <f aca="false">IF(Товары!A31="","",SUMIFS(Продажи!$H$2:$H$1000,Продажи!$D$2:$D$1000,Товары!A31,Продажи!$L$2:$L$1000,$B$2))</f>
        <v/>
      </c>
      <c r="D50" s="8" t="str">
        <f aca="false">IF(Товары!A31="","",SUMIFS(Продажи!$J$2:$J$1000,Продажи!$D$2:$D$1000,Товары!A31,Продажи!$L$2:$L$1000,$B$2))</f>
        <v/>
      </c>
      <c r="E50" s="7" t="str">
        <f aca="false">IF(C50="","",RANK(C50,$C$21:$C$50))</f>
        <v/>
      </c>
      <c r="G50" s="7" t="str">
        <f aca="false">IF(Клиенты!A31="","",Клиенты!A31)</f>
        <v/>
      </c>
      <c r="H50" s="7" t="str">
        <f aca="false">IF(Клиенты!A31="","",COUNTIFS(Продажи!$C$2:$C$1000,Клиенты!A31,Продажи!$L$2:$L$1000,$B$2))</f>
        <v/>
      </c>
      <c r="I50" s="8" t="str">
        <f aca="false">IF(Клиенты!A31="","",SUMIFS(Продажи!$H$2:$H$1000,Продажи!$C$2:$C$1000,Клиенты!A31,Продажи!$L$2:$L$1000,$B$2))</f>
        <v/>
      </c>
      <c r="J50" s="7" t="str">
        <f aca="false">IF(I50="","",RANK(I50,$I$21:$I$50))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44"/>
    <col collapsed="false" customWidth="true" hidden="false" outlineLevel="0" max="3" min="3" style="0" width="10"/>
    <col collapsed="false" customWidth="true" hidden="false" outlineLevel="0" max="4" min="4" style="0" width="16"/>
    <col collapsed="false" customWidth="true" hidden="false" outlineLevel="0" max="5" min="5" style="0" width="18"/>
  </cols>
  <sheetData>
    <row r="1" customFormat="false" ht="17.35" hidden="false" customHeight="false" outlineLevel="0" collapsed="false">
      <c r="A1" s="12" t="s">
        <v>95</v>
      </c>
    </row>
    <row r="3" customFormat="false" ht="15" hidden="false" customHeight="false" outlineLevel="0" collapsed="false">
      <c r="A3" s="13" t="s">
        <v>96</v>
      </c>
      <c r="B3" s="6" t="n">
        <v>1001</v>
      </c>
      <c r="C3" s="14" t="s">
        <v>97</v>
      </c>
    </row>
    <row r="4" customFormat="false" ht="15" hidden="false" customHeight="false" outlineLevel="0" collapsed="false">
      <c r="A4" s="13" t="s">
        <v>98</v>
      </c>
      <c r="B4" s="19" t="n">
        <f aca="false">IFERROR(INDEX(Продажи!$A$2:$A$1000,MATCH($B$3&amp;"|1",Продажи!$M$2:$M$1000,0)),"")</f>
        <v>46034</v>
      </c>
    </row>
    <row r="5" customFormat="false" ht="15" hidden="false" customHeight="false" outlineLevel="0" collapsed="false">
      <c r="A5" s="13" t="s">
        <v>99</v>
      </c>
      <c r="B5" s="20" t="str">
        <f aca="false">IFERROR(INDEX(Продажи!$C$2:$C$1000,MATCH($B$3&amp;"|1",Продажи!$M$2:$M$1000,0)),"счёт не найден")</f>
        <v>ТОО «Альфа»</v>
      </c>
    </row>
    <row r="6" customFormat="false" ht="15" hidden="false" customHeight="false" outlineLevel="0" collapsed="false">
      <c r="A6" s="13" t="s">
        <v>100</v>
      </c>
      <c r="B6" s="20" t="str">
        <f aca="false">IFERROR(INDEX(Клиенты!$D$2:$D$200,MATCH(B5,Клиенты!$A$2:$A$200,0)),"")</f>
        <v>г. Астана, ул. Примерная 1, БИН 000000000001</v>
      </c>
    </row>
    <row r="7" customFormat="false" ht="15" hidden="false" customHeight="false" outlineLevel="0" collapsed="false">
      <c r="A7" s="13" t="s">
        <v>101</v>
      </c>
      <c r="B7" s="21" t="s">
        <v>102</v>
      </c>
    </row>
    <row r="9" customFormat="false" ht="30" hidden="false" customHeight="true" outlineLevel="0" collapsed="false">
      <c r="A9" s="4" t="s">
        <v>103</v>
      </c>
      <c r="B9" s="4" t="s">
        <v>104</v>
      </c>
      <c r="C9" s="4" t="s">
        <v>26</v>
      </c>
      <c r="D9" s="4" t="s">
        <v>27</v>
      </c>
      <c r="E9" s="4" t="s">
        <v>28</v>
      </c>
    </row>
    <row r="10" customFormat="false" ht="15" hidden="false" customHeight="false" outlineLevel="0" collapsed="false">
      <c r="A10" s="7" t="n">
        <f aca="false">IF(ISNUMBER(MATCH($B$3&amp;"|"&amp;1,Продажи!$M$2:$M$1000,0)),1,"")</f>
        <v>1</v>
      </c>
      <c r="B10" s="7" t="str">
        <f aca="false">IF($A10="","",INDEX(Продажи!$E$2:$E$1000,MATCH($B$3&amp;"|"&amp;$A10,Продажи!$M$2:$M$1000,0)))</f>
        <v>Товар 1</v>
      </c>
      <c r="C10" s="7" t="n">
        <f aca="false">IF($A10="","",INDEX(Продажи!$F$2:$F$1000,MATCH($B$3&amp;"|"&amp;$A10,Продажи!$M$2:$M$1000,0)))</f>
        <v>10</v>
      </c>
      <c r="D10" s="8" t="n">
        <f aca="false">IF($A10="","",INDEX(Продажи!$G$2:$G$1000,MATCH($B$3&amp;"|"&amp;$A10,Продажи!$M$2:$M$1000,0)))</f>
        <v>15000</v>
      </c>
      <c r="E10" s="8" t="n">
        <f aca="false">IF($A10="","",INDEX(Продажи!$H$2:$H$1000,MATCH($B$3&amp;"|"&amp;$A10,Продажи!$M$2:$M$1000,0)))</f>
        <v>150000</v>
      </c>
    </row>
    <row r="11" customFormat="false" ht="15" hidden="false" customHeight="false" outlineLevel="0" collapsed="false">
      <c r="A11" s="7" t="n">
        <f aca="false">IF(ISNUMBER(MATCH($B$3&amp;"|"&amp;2,Продажи!$M$2:$M$1000,0)),2,"")</f>
        <v>2</v>
      </c>
      <c r="B11" s="7" t="str">
        <f aca="false">IF($A11="","",INDEX(Продажи!$E$2:$E$1000,MATCH($B$3&amp;"|"&amp;$A11,Продажи!$M$2:$M$1000,0)))</f>
        <v>Товар 2</v>
      </c>
      <c r="C11" s="7" t="n">
        <f aca="false">IF($A11="","",INDEX(Продажи!$F$2:$F$1000,MATCH($B$3&amp;"|"&amp;$A11,Продажи!$M$2:$M$1000,0)))</f>
        <v>5</v>
      </c>
      <c r="D11" s="8" t="n">
        <f aca="false">IF($A11="","",INDEX(Продажи!$G$2:$G$1000,MATCH($B$3&amp;"|"&amp;$A11,Продажи!$M$2:$M$1000,0)))</f>
        <v>8500</v>
      </c>
      <c r="E11" s="8" t="n">
        <f aca="false">IF($A11="","",INDEX(Продажи!$H$2:$H$1000,MATCH($B$3&amp;"|"&amp;$A11,Продажи!$M$2:$M$1000,0)))</f>
        <v>42500</v>
      </c>
    </row>
    <row r="12" customFormat="false" ht="15" hidden="false" customHeight="false" outlineLevel="0" collapsed="false">
      <c r="A12" s="7" t="str">
        <f aca="false">IF(ISNUMBER(MATCH($B$3&amp;"|"&amp;3,Продажи!$M$2:$M$1000,0)),3,"")</f>
        <v/>
      </c>
      <c r="B12" s="7" t="str">
        <f aca="false">IF($A12="","",INDEX(Продажи!$E$2:$E$1000,MATCH($B$3&amp;"|"&amp;$A12,Продажи!$M$2:$M$1000,0)))</f>
        <v/>
      </c>
      <c r="C12" s="7" t="str">
        <f aca="false">IF($A12="","",INDEX(Продажи!$F$2:$F$1000,MATCH($B$3&amp;"|"&amp;$A12,Продажи!$M$2:$M$1000,0)))</f>
        <v/>
      </c>
      <c r="D12" s="8" t="str">
        <f aca="false">IF($A12="","",INDEX(Продажи!$G$2:$G$1000,MATCH($B$3&amp;"|"&amp;$A12,Продажи!$M$2:$M$1000,0)))</f>
        <v/>
      </c>
      <c r="E12" s="8" t="str">
        <f aca="false">IF($A12="","",INDEX(Продажи!$H$2:$H$1000,MATCH($B$3&amp;"|"&amp;$A12,Продажи!$M$2:$M$1000,0)))</f>
        <v/>
      </c>
    </row>
    <row r="13" customFormat="false" ht="15" hidden="false" customHeight="false" outlineLevel="0" collapsed="false">
      <c r="A13" s="7" t="str">
        <f aca="false">IF(ISNUMBER(MATCH($B$3&amp;"|"&amp;4,Продажи!$M$2:$M$1000,0)),4,"")</f>
        <v/>
      </c>
      <c r="B13" s="7" t="str">
        <f aca="false">IF($A13="","",INDEX(Продажи!$E$2:$E$1000,MATCH($B$3&amp;"|"&amp;$A13,Продажи!$M$2:$M$1000,0)))</f>
        <v/>
      </c>
      <c r="C13" s="7" t="str">
        <f aca="false">IF($A13="","",INDEX(Продажи!$F$2:$F$1000,MATCH($B$3&amp;"|"&amp;$A13,Продажи!$M$2:$M$1000,0)))</f>
        <v/>
      </c>
      <c r="D13" s="8" t="str">
        <f aca="false">IF($A13="","",INDEX(Продажи!$G$2:$G$1000,MATCH($B$3&amp;"|"&amp;$A13,Продажи!$M$2:$M$1000,0)))</f>
        <v/>
      </c>
      <c r="E13" s="8" t="str">
        <f aca="false">IF($A13="","",INDEX(Продажи!$H$2:$H$1000,MATCH($B$3&amp;"|"&amp;$A13,Продажи!$M$2:$M$1000,0)))</f>
        <v/>
      </c>
    </row>
    <row r="14" customFormat="false" ht="15" hidden="false" customHeight="false" outlineLevel="0" collapsed="false">
      <c r="A14" s="7" t="str">
        <f aca="false">IF(ISNUMBER(MATCH($B$3&amp;"|"&amp;5,Продажи!$M$2:$M$1000,0)),5,"")</f>
        <v/>
      </c>
      <c r="B14" s="7" t="str">
        <f aca="false">IF($A14="","",INDEX(Продажи!$E$2:$E$1000,MATCH($B$3&amp;"|"&amp;$A14,Продажи!$M$2:$M$1000,0)))</f>
        <v/>
      </c>
      <c r="C14" s="7" t="str">
        <f aca="false">IF($A14="","",INDEX(Продажи!$F$2:$F$1000,MATCH($B$3&amp;"|"&amp;$A14,Продажи!$M$2:$M$1000,0)))</f>
        <v/>
      </c>
      <c r="D14" s="8" t="str">
        <f aca="false">IF($A14="","",INDEX(Продажи!$G$2:$G$1000,MATCH($B$3&amp;"|"&amp;$A14,Продажи!$M$2:$M$1000,0)))</f>
        <v/>
      </c>
      <c r="E14" s="8" t="str">
        <f aca="false">IF($A14="","",INDEX(Продажи!$H$2:$H$1000,MATCH($B$3&amp;"|"&amp;$A14,Продажи!$M$2:$M$1000,0)))</f>
        <v/>
      </c>
    </row>
    <row r="15" customFormat="false" ht="15" hidden="false" customHeight="false" outlineLevel="0" collapsed="false">
      <c r="A15" s="7" t="str">
        <f aca="false">IF(ISNUMBER(MATCH($B$3&amp;"|"&amp;6,Продажи!$M$2:$M$1000,0)),6,"")</f>
        <v/>
      </c>
      <c r="B15" s="7" t="str">
        <f aca="false">IF($A15="","",INDEX(Продажи!$E$2:$E$1000,MATCH($B$3&amp;"|"&amp;$A15,Продажи!$M$2:$M$1000,0)))</f>
        <v/>
      </c>
      <c r="C15" s="7" t="str">
        <f aca="false">IF($A15="","",INDEX(Продажи!$F$2:$F$1000,MATCH($B$3&amp;"|"&amp;$A15,Продажи!$M$2:$M$1000,0)))</f>
        <v/>
      </c>
      <c r="D15" s="8" t="str">
        <f aca="false">IF($A15="","",INDEX(Продажи!$G$2:$G$1000,MATCH($B$3&amp;"|"&amp;$A15,Продажи!$M$2:$M$1000,0)))</f>
        <v/>
      </c>
      <c r="E15" s="8" t="str">
        <f aca="false">IF($A15="","",INDEX(Продажи!$H$2:$H$1000,MATCH($B$3&amp;"|"&amp;$A15,Продажи!$M$2:$M$1000,0)))</f>
        <v/>
      </c>
    </row>
    <row r="16" customFormat="false" ht="15" hidden="false" customHeight="false" outlineLevel="0" collapsed="false">
      <c r="A16" s="7" t="str">
        <f aca="false">IF(ISNUMBER(MATCH($B$3&amp;"|"&amp;7,Продажи!$M$2:$M$1000,0)),7,"")</f>
        <v/>
      </c>
      <c r="B16" s="7" t="str">
        <f aca="false">IF($A16="","",INDEX(Продажи!$E$2:$E$1000,MATCH($B$3&amp;"|"&amp;$A16,Продажи!$M$2:$M$1000,0)))</f>
        <v/>
      </c>
      <c r="C16" s="7" t="str">
        <f aca="false">IF($A16="","",INDEX(Продажи!$F$2:$F$1000,MATCH($B$3&amp;"|"&amp;$A16,Продажи!$M$2:$M$1000,0)))</f>
        <v/>
      </c>
      <c r="D16" s="8" t="str">
        <f aca="false">IF($A16="","",INDEX(Продажи!$G$2:$G$1000,MATCH($B$3&amp;"|"&amp;$A16,Продажи!$M$2:$M$1000,0)))</f>
        <v/>
      </c>
      <c r="E16" s="8" t="str">
        <f aca="false">IF($A16="","",INDEX(Продажи!$H$2:$H$1000,MATCH($B$3&amp;"|"&amp;$A16,Продажи!$M$2:$M$1000,0)))</f>
        <v/>
      </c>
    </row>
    <row r="17" customFormat="false" ht="15" hidden="false" customHeight="false" outlineLevel="0" collapsed="false">
      <c r="A17" s="7" t="str">
        <f aca="false">IF(ISNUMBER(MATCH($B$3&amp;"|"&amp;8,Продажи!$M$2:$M$1000,0)),8,"")</f>
        <v/>
      </c>
      <c r="B17" s="7" t="str">
        <f aca="false">IF($A17="","",INDEX(Продажи!$E$2:$E$1000,MATCH($B$3&amp;"|"&amp;$A17,Продажи!$M$2:$M$1000,0)))</f>
        <v/>
      </c>
      <c r="C17" s="7" t="str">
        <f aca="false">IF($A17="","",INDEX(Продажи!$F$2:$F$1000,MATCH($B$3&amp;"|"&amp;$A17,Продажи!$M$2:$M$1000,0)))</f>
        <v/>
      </c>
      <c r="D17" s="8" t="str">
        <f aca="false">IF($A17="","",INDEX(Продажи!$G$2:$G$1000,MATCH($B$3&amp;"|"&amp;$A17,Продажи!$M$2:$M$1000,0)))</f>
        <v/>
      </c>
      <c r="E17" s="8" t="str">
        <f aca="false">IF($A17="","",INDEX(Продажи!$H$2:$H$1000,MATCH($B$3&amp;"|"&amp;$A17,Продажи!$M$2:$M$1000,0)))</f>
        <v/>
      </c>
    </row>
    <row r="18" customFormat="false" ht="15" hidden="false" customHeight="false" outlineLevel="0" collapsed="false">
      <c r="A18" s="7" t="str">
        <f aca="false">IF(ISNUMBER(MATCH($B$3&amp;"|"&amp;9,Продажи!$M$2:$M$1000,0)),9,"")</f>
        <v/>
      </c>
      <c r="B18" s="7" t="str">
        <f aca="false">IF($A18="","",INDEX(Продажи!$E$2:$E$1000,MATCH($B$3&amp;"|"&amp;$A18,Продажи!$M$2:$M$1000,0)))</f>
        <v/>
      </c>
      <c r="C18" s="7" t="str">
        <f aca="false">IF($A18="","",INDEX(Продажи!$F$2:$F$1000,MATCH($B$3&amp;"|"&amp;$A18,Продажи!$M$2:$M$1000,0)))</f>
        <v/>
      </c>
      <c r="D18" s="8" t="str">
        <f aca="false">IF($A18="","",INDEX(Продажи!$G$2:$G$1000,MATCH($B$3&amp;"|"&amp;$A18,Продажи!$M$2:$M$1000,0)))</f>
        <v/>
      </c>
      <c r="E18" s="8" t="str">
        <f aca="false">IF($A18="","",INDEX(Продажи!$H$2:$H$1000,MATCH($B$3&amp;"|"&amp;$A18,Продажи!$M$2:$M$1000,0)))</f>
        <v/>
      </c>
    </row>
    <row r="19" customFormat="false" ht="15" hidden="false" customHeight="false" outlineLevel="0" collapsed="false">
      <c r="A19" s="7" t="str">
        <f aca="false">IF(ISNUMBER(MATCH($B$3&amp;"|"&amp;10,Продажи!$M$2:$M$1000,0)),10,"")</f>
        <v/>
      </c>
      <c r="B19" s="7" t="str">
        <f aca="false">IF($A19="","",INDEX(Продажи!$E$2:$E$1000,MATCH($B$3&amp;"|"&amp;$A19,Продажи!$M$2:$M$1000,0)))</f>
        <v/>
      </c>
      <c r="C19" s="7" t="str">
        <f aca="false">IF($A19="","",INDEX(Продажи!$F$2:$F$1000,MATCH($B$3&amp;"|"&amp;$A19,Продажи!$M$2:$M$1000,0)))</f>
        <v/>
      </c>
      <c r="D19" s="8" t="str">
        <f aca="false">IF($A19="","",INDEX(Продажи!$G$2:$G$1000,MATCH($B$3&amp;"|"&amp;$A19,Продажи!$M$2:$M$1000,0)))</f>
        <v/>
      </c>
      <c r="E19" s="8" t="str">
        <f aca="false">IF($A19="","",INDEX(Продажи!$H$2:$H$1000,MATCH($B$3&amp;"|"&amp;$A19,Продажи!$M$2:$M$1000,0)))</f>
        <v/>
      </c>
    </row>
    <row r="20" customFormat="false" ht="15" hidden="false" customHeight="false" outlineLevel="0" collapsed="false">
      <c r="A20" s="7" t="str">
        <f aca="false">IF(ISNUMBER(MATCH($B$3&amp;"|"&amp;11,Продажи!$M$2:$M$1000,0)),11,"")</f>
        <v/>
      </c>
      <c r="B20" s="7" t="str">
        <f aca="false">IF($A20="","",INDEX(Продажи!$E$2:$E$1000,MATCH($B$3&amp;"|"&amp;$A20,Продажи!$M$2:$M$1000,0)))</f>
        <v/>
      </c>
      <c r="C20" s="7" t="str">
        <f aca="false">IF($A20="","",INDEX(Продажи!$F$2:$F$1000,MATCH($B$3&amp;"|"&amp;$A20,Продажи!$M$2:$M$1000,0)))</f>
        <v/>
      </c>
      <c r="D20" s="8" t="str">
        <f aca="false">IF($A20="","",INDEX(Продажи!$G$2:$G$1000,MATCH($B$3&amp;"|"&amp;$A20,Продажи!$M$2:$M$1000,0)))</f>
        <v/>
      </c>
      <c r="E20" s="8" t="str">
        <f aca="false">IF($A20="","",INDEX(Продажи!$H$2:$H$1000,MATCH($B$3&amp;"|"&amp;$A20,Продажи!$M$2:$M$1000,0)))</f>
        <v/>
      </c>
    </row>
    <row r="21" customFormat="false" ht="15" hidden="false" customHeight="false" outlineLevel="0" collapsed="false">
      <c r="A21" s="7" t="str">
        <f aca="false">IF(ISNUMBER(MATCH($B$3&amp;"|"&amp;12,Продажи!$M$2:$M$1000,0)),12,"")</f>
        <v/>
      </c>
      <c r="B21" s="7" t="str">
        <f aca="false">IF($A21="","",INDEX(Продажи!$E$2:$E$1000,MATCH($B$3&amp;"|"&amp;$A21,Продажи!$M$2:$M$1000,0)))</f>
        <v/>
      </c>
      <c r="C21" s="7" t="str">
        <f aca="false">IF($A21="","",INDEX(Продажи!$F$2:$F$1000,MATCH($B$3&amp;"|"&amp;$A21,Продажи!$M$2:$M$1000,0)))</f>
        <v/>
      </c>
      <c r="D21" s="8" t="str">
        <f aca="false">IF($A21="","",INDEX(Продажи!$G$2:$G$1000,MATCH($B$3&amp;"|"&amp;$A21,Продажи!$M$2:$M$1000,0)))</f>
        <v/>
      </c>
      <c r="E21" s="8" t="str">
        <f aca="false">IF($A21="","",INDEX(Продажи!$H$2:$H$1000,MATCH($B$3&amp;"|"&amp;$A21,Продажи!$M$2:$M$1000,0)))</f>
        <v/>
      </c>
    </row>
    <row r="22" customFormat="false" ht="15" hidden="false" customHeight="false" outlineLevel="0" collapsed="false">
      <c r="A22" s="7" t="str">
        <f aca="false">IF(ISNUMBER(MATCH($B$3&amp;"|"&amp;13,Продажи!$M$2:$M$1000,0)),13,"")</f>
        <v/>
      </c>
      <c r="B22" s="7" t="str">
        <f aca="false">IF($A22="","",INDEX(Продажи!$E$2:$E$1000,MATCH($B$3&amp;"|"&amp;$A22,Продажи!$M$2:$M$1000,0)))</f>
        <v/>
      </c>
      <c r="C22" s="7" t="str">
        <f aca="false">IF($A22="","",INDEX(Продажи!$F$2:$F$1000,MATCH($B$3&amp;"|"&amp;$A22,Продажи!$M$2:$M$1000,0)))</f>
        <v/>
      </c>
      <c r="D22" s="8" t="str">
        <f aca="false">IF($A22="","",INDEX(Продажи!$G$2:$G$1000,MATCH($B$3&amp;"|"&amp;$A22,Продажи!$M$2:$M$1000,0)))</f>
        <v/>
      </c>
      <c r="E22" s="8" t="str">
        <f aca="false">IF($A22="","",INDEX(Продажи!$H$2:$H$1000,MATCH($B$3&amp;"|"&amp;$A22,Продажи!$M$2:$M$1000,0)))</f>
        <v/>
      </c>
    </row>
    <row r="23" customFormat="false" ht="15" hidden="false" customHeight="false" outlineLevel="0" collapsed="false">
      <c r="A23" s="7" t="str">
        <f aca="false">IF(ISNUMBER(MATCH($B$3&amp;"|"&amp;14,Продажи!$M$2:$M$1000,0)),14,"")</f>
        <v/>
      </c>
      <c r="B23" s="7" t="str">
        <f aca="false">IF($A23="","",INDEX(Продажи!$E$2:$E$1000,MATCH($B$3&amp;"|"&amp;$A23,Продажи!$M$2:$M$1000,0)))</f>
        <v/>
      </c>
      <c r="C23" s="7" t="str">
        <f aca="false">IF($A23="","",INDEX(Продажи!$F$2:$F$1000,MATCH($B$3&amp;"|"&amp;$A23,Продажи!$M$2:$M$1000,0)))</f>
        <v/>
      </c>
      <c r="D23" s="8" t="str">
        <f aca="false">IF($A23="","",INDEX(Продажи!$G$2:$G$1000,MATCH($B$3&amp;"|"&amp;$A23,Продажи!$M$2:$M$1000,0)))</f>
        <v/>
      </c>
      <c r="E23" s="8" t="str">
        <f aca="false">IF($A23="","",INDEX(Продажи!$H$2:$H$1000,MATCH($B$3&amp;"|"&amp;$A23,Продажи!$M$2:$M$1000,0)))</f>
        <v/>
      </c>
    </row>
    <row r="24" customFormat="false" ht="15" hidden="false" customHeight="false" outlineLevel="0" collapsed="false">
      <c r="A24" s="7" t="str">
        <f aca="false">IF(ISNUMBER(MATCH($B$3&amp;"|"&amp;15,Продажи!$M$2:$M$1000,0)),15,"")</f>
        <v/>
      </c>
      <c r="B24" s="7" t="str">
        <f aca="false">IF($A24="","",INDEX(Продажи!$E$2:$E$1000,MATCH($B$3&amp;"|"&amp;$A24,Продажи!$M$2:$M$1000,0)))</f>
        <v/>
      </c>
      <c r="C24" s="7" t="str">
        <f aca="false">IF($A24="","",INDEX(Продажи!$F$2:$F$1000,MATCH($B$3&amp;"|"&amp;$A24,Продажи!$M$2:$M$1000,0)))</f>
        <v/>
      </c>
      <c r="D24" s="8" t="str">
        <f aca="false">IF($A24="","",INDEX(Продажи!$G$2:$G$1000,MATCH($B$3&amp;"|"&amp;$A24,Продажи!$M$2:$M$1000,0)))</f>
        <v/>
      </c>
      <c r="E24" s="8" t="str">
        <f aca="false">IF($A24="","",INDEX(Продажи!$H$2:$H$1000,MATCH($B$3&amp;"|"&amp;$A24,Продажи!$M$2:$M$1000,0)))</f>
        <v/>
      </c>
    </row>
    <row r="25" customFormat="false" ht="15" hidden="false" customHeight="false" outlineLevel="0" collapsed="false">
      <c r="A25" s="7" t="str">
        <f aca="false">IF(ISNUMBER(MATCH($B$3&amp;"|"&amp;16,Продажи!$M$2:$M$1000,0)),16,"")</f>
        <v/>
      </c>
      <c r="B25" s="7" t="str">
        <f aca="false">IF($A25="","",INDEX(Продажи!$E$2:$E$1000,MATCH($B$3&amp;"|"&amp;$A25,Продажи!$M$2:$M$1000,0)))</f>
        <v/>
      </c>
      <c r="C25" s="7" t="str">
        <f aca="false">IF($A25="","",INDEX(Продажи!$F$2:$F$1000,MATCH($B$3&amp;"|"&amp;$A25,Продажи!$M$2:$M$1000,0)))</f>
        <v/>
      </c>
      <c r="D25" s="8" t="str">
        <f aca="false">IF($A25="","",INDEX(Продажи!$G$2:$G$1000,MATCH($B$3&amp;"|"&amp;$A25,Продажи!$M$2:$M$1000,0)))</f>
        <v/>
      </c>
      <c r="E25" s="8" t="str">
        <f aca="false">IF($A25="","",INDEX(Продажи!$H$2:$H$1000,MATCH($B$3&amp;"|"&amp;$A25,Продажи!$M$2:$M$1000,0)))</f>
        <v/>
      </c>
    </row>
    <row r="26" customFormat="false" ht="15" hidden="false" customHeight="false" outlineLevel="0" collapsed="false">
      <c r="A26" s="7" t="str">
        <f aca="false">IF(ISNUMBER(MATCH($B$3&amp;"|"&amp;17,Продажи!$M$2:$M$1000,0)),17,"")</f>
        <v/>
      </c>
      <c r="B26" s="7" t="str">
        <f aca="false">IF($A26="","",INDEX(Продажи!$E$2:$E$1000,MATCH($B$3&amp;"|"&amp;$A26,Продажи!$M$2:$M$1000,0)))</f>
        <v/>
      </c>
      <c r="C26" s="7" t="str">
        <f aca="false">IF($A26="","",INDEX(Продажи!$F$2:$F$1000,MATCH($B$3&amp;"|"&amp;$A26,Продажи!$M$2:$M$1000,0)))</f>
        <v/>
      </c>
      <c r="D26" s="8" t="str">
        <f aca="false">IF($A26="","",INDEX(Продажи!$G$2:$G$1000,MATCH($B$3&amp;"|"&amp;$A26,Продажи!$M$2:$M$1000,0)))</f>
        <v/>
      </c>
      <c r="E26" s="8" t="str">
        <f aca="false">IF($A26="","",INDEX(Продажи!$H$2:$H$1000,MATCH($B$3&amp;"|"&amp;$A26,Продажи!$M$2:$M$1000,0)))</f>
        <v/>
      </c>
    </row>
    <row r="27" customFormat="false" ht="15" hidden="false" customHeight="false" outlineLevel="0" collapsed="false">
      <c r="A27" s="7" t="str">
        <f aca="false">IF(ISNUMBER(MATCH($B$3&amp;"|"&amp;18,Продажи!$M$2:$M$1000,0)),18,"")</f>
        <v/>
      </c>
      <c r="B27" s="7" t="str">
        <f aca="false">IF($A27="","",INDEX(Продажи!$E$2:$E$1000,MATCH($B$3&amp;"|"&amp;$A27,Продажи!$M$2:$M$1000,0)))</f>
        <v/>
      </c>
      <c r="C27" s="7" t="str">
        <f aca="false">IF($A27="","",INDEX(Продажи!$F$2:$F$1000,MATCH($B$3&amp;"|"&amp;$A27,Продажи!$M$2:$M$1000,0)))</f>
        <v/>
      </c>
      <c r="D27" s="8" t="str">
        <f aca="false">IF($A27="","",INDEX(Продажи!$G$2:$G$1000,MATCH($B$3&amp;"|"&amp;$A27,Продажи!$M$2:$M$1000,0)))</f>
        <v/>
      </c>
      <c r="E27" s="8" t="str">
        <f aca="false">IF($A27="","",INDEX(Продажи!$H$2:$H$1000,MATCH($B$3&amp;"|"&amp;$A27,Продажи!$M$2:$M$1000,0)))</f>
        <v/>
      </c>
    </row>
    <row r="28" customFormat="false" ht="15" hidden="false" customHeight="false" outlineLevel="0" collapsed="false">
      <c r="A28" s="7" t="str">
        <f aca="false">IF(ISNUMBER(MATCH($B$3&amp;"|"&amp;19,Продажи!$M$2:$M$1000,0)),19,"")</f>
        <v/>
      </c>
      <c r="B28" s="7" t="str">
        <f aca="false">IF($A28="","",INDEX(Продажи!$E$2:$E$1000,MATCH($B$3&amp;"|"&amp;$A28,Продажи!$M$2:$M$1000,0)))</f>
        <v/>
      </c>
      <c r="C28" s="7" t="str">
        <f aca="false">IF($A28="","",INDEX(Продажи!$F$2:$F$1000,MATCH($B$3&amp;"|"&amp;$A28,Продажи!$M$2:$M$1000,0)))</f>
        <v/>
      </c>
      <c r="D28" s="8" t="str">
        <f aca="false">IF($A28="","",INDEX(Продажи!$G$2:$G$1000,MATCH($B$3&amp;"|"&amp;$A28,Продажи!$M$2:$M$1000,0)))</f>
        <v/>
      </c>
      <c r="E28" s="8" t="str">
        <f aca="false">IF($A28="","",INDEX(Продажи!$H$2:$H$1000,MATCH($B$3&amp;"|"&amp;$A28,Продажи!$M$2:$M$1000,0)))</f>
        <v/>
      </c>
    </row>
    <row r="29" customFormat="false" ht="15" hidden="false" customHeight="false" outlineLevel="0" collapsed="false">
      <c r="A29" s="7" t="str">
        <f aca="false">IF(ISNUMBER(MATCH($B$3&amp;"|"&amp;20,Продажи!$M$2:$M$1000,0)),20,"")</f>
        <v/>
      </c>
      <c r="B29" s="7" t="str">
        <f aca="false">IF($A29="","",INDEX(Продажи!$E$2:$E$1000,MATCH($B$3&amp;"|"&amp;$A29,Продажи!$M$2:$M$1000,0)))</f>
        <v/>
      </c>
      <c r="C29" s="7" t="str">
        <f aca="false">IF($A29="","",INDEX(Продажи!$F$2:$F$1000,MATCH($B$3&amp;"|"&amp;$A29,Продажи!$M$2:$M$1000,0)))</f>
        <v/>
      </c>
      <c r="D29" s="8" t="str">
        <f aca="false">IF($A29="","",INDEX(Продажи!$G$2:$G$1000,MATCH($B$3&amp;"|"&amp;$A29,Продажи!$M$2:$M$1000,0)))</f>
        <v/>
      </c>
      <c r="E29" s="8" t="str">
        <f aca="false">IF($A29="","",INDEX(Продажи!$H$2:$H$1000,MATCH($B$3&amp;"|"&amp;$A29,Продажи!$M$2:$M$1000,0)))</f>
        <v/>
      </c>
    </row>
    <row r="30" customFormat="false" ht="15" hidden="false" customHeight="false" outlineLevel="0" collapsed="false">
      <c r="D30" s="13" t="s">
        <v>105</v>
      </c>
      <c r="E30" s="22" t="n">
        <f aca="false">SUM(E10:E29)</f>
        <v>192500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2026-10-03T10:46:00Z</dcterms:created>
  <dc:creator>openpyxl</dc:creator>
  <dc:description/>
  <dc:language>en-US</dc:language>
  <cp:lastModifiedBy/>
  <dcterms:modified xsi:type="dcterms:W3CDTF">2026-10-03T10:46:04Z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